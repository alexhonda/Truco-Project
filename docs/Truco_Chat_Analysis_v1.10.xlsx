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nversation Log" sheetId="2" state="visible" r:id="rId4"/>
    <sheet name="My To-Do" sheetId="3" state="visible" r:id="rId5"/>
    <sheet name="Next Steps" sheetId="4" state="visible" r:id="rId6"/>
    <sheet name="Rule Decisions" sheetId="5" state="visible" r:id="rId7"/>
    <sheet name="Findings" sheetId="6" state="visible" r:id="rId8"/>
    <sheet name="Engine Code Inventory" sheetId="7" state="visible" r:id="rId9"/>
    <sheet name="Parda Test Matrix" sheetId="8" state="visible" r:id="rId10"/>
    <sheet name="Test Results" sheetId="9" state="visible" r:id="rId11"/>
    <sheet name="Update Lo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<sst xmlns="http://schemas.openxmlformats.org/spreadsheetml/2006/main" count="992" uniqueCount="659">
  <si>
    <t xml:space="preserve">Analyst Summary — Truco Mobile Game Chat</t>
  </si>
  <si>
    <t xml:space="preserve">Source: 'chat-__Build_Truco_Mobile_Game__2_.pdf' (8 user turns, Claude Sonnet 5). Version v1.10. Prepared 2026-10-04.</t>
  </si>
  <si>
    <t xml:space="preserve">Assumptions</t>
  </si>
  <si>
    <t xml:space="preserve">Context window size (tokens)</t>
  </si>
  <si>
    <t xml:space="preserve">Source: context meter in the transcript ('/ 1,000,000 tokens').</t>
  </si>
  <si>
    <t xml:space="preserve">Model shown in the chat</t>
  </si>
  <si>
    <t xml:space="preserve">Claude Sonnet 5</t>
  </si>
  <si>
    <t xml:space="preserve">Source: model label on each response in the transcript.</t>
  </si>
  <si>
    <t xml:space="preserve">Key metrics</t>
  </si>
  <si>
    <t xml:space="preserve">Turns logged</t>
  </si>
  <si>
    <t xml:space="preserve">User turns in the source chat.</t>
  </si>
  <si>
    <t xml:space="preserve">Total tool calls</t>
  </si>
  <si>
    <t xml:space="preserve">Counted from the tool-call labels in the transcript.</t>
  </si>
  <si>
    <t xml:space="preserve">Peak context (tokens)</t>
  </si>
  <si>
    <t xml:space="preserve">Turn 6 meter reading.</t>
  </si>
  <si>
    <t xml:space="preserve">Peak context (% of window)</t>
  </si>
  <si>
    <t xml:space="preserve">Above 100% means the meter exceeded the stated window.</t>
  </si>
  <si>
    <t xml:space="preserve">Turns over the window</t>
  </si>
  <si>
    <t xml:space="preserve">Findings logged</t>
  </si>
  <si>
    <t xml:space="preserve">High-severity findings not resolved</t>
  </si>
  <si>
    <t xml:space="preserve">Open or Verify only; 'Addressed in rebuild' counts as handled.</t>
  </si>
  <si>
    <t xml:space="preserve">Findings still open or to verify</t>
  </si>
  <si>
    <t xml:space="preserve">Logic bugs fixed (chat + rebuild)</t>
  </si>
  <si>
    <t xml:space="preserve">Const reassignment, parda fallback, turn after accepted Truco.</t>
  </si>
  <si>
    <t xml:space="preserve">Matrix cases executed and passed</t>
  </si>
  <si>
    <t xml:space="preserve">Run with node --test on the rebuilt engine.</t>
  </si>
  <si>
    <t xml:space="preserve">Automated tests passing (rebuilt engine)</t>
  </si>
  <si>
    <t xml:space="preserve">See Test Results; includes 3,000 simulated games.</t>
  </si>
  <si>
    <t xml:space="preserve">Conclusions</t>
  </si>
  <si>
    <t xml:space="preserve">1. The chat produced a sensible architecture (managed realtime backend, server-authoritative logic, engine separated from UI) and a five-file TypeScript draft engine for two-player Argentine Truco.</t>
  </si>
  <si>
    <t xml:space="preserve">2. In the source chat the engine never passed an automated run. I rebuilt it from the visible code and the spec on Node 22: 41 of 41 tests pass (engine plus computer opponent), including 3,000 seeded full games. The original five files themselves were not run.</t>
  </si>
  <si>
    <t xml:space="preserve">3. Two bugs were fixed in the chat. The rebuild also fixes or implements the four review items (turn after accepted Truco, Envido timing, raise rights, Falta Envido) and adds a client-safe publicView.</t>
  </si>
  <si>
    <t xml:space="preserve">4. The biggest project risk is scope: two beginners, two native apps and online multiplayer from day one. Claude raised this itself in turn 2.</t>
  </si>
  <si>
    <t xml:space="preserve">5. Session health was poor late in the source chat: the context meter exceeded the window in turn 6, sandboxes disconnected repeatedly, and turn 8 hit the spend cap.</t>
  </si>
  <si>
    <t xml:space="preserve">Recommended next steps</t>
  </si>
  <si>
    <t xml:space="preserve">1. Unzip truco-engine.zip into a repo, run npm test, and review the three rule switches in src/types.ts with your friend.</t>
  </si>
  <si>
    <t xml:space="preserve">2. Agree the open rules: Envido point table, Falta Envido convention, Envido timing, fold and Flor, 15 vs 30.</t>
  </si>
  <si>
    <t xml:space="preserve">3. Build next: a Cloud Functions wrapper over applyAction and publicView, Firestore rules for private hands, then the throwaway web test page.</t>
  </si>
  <si>
    <t xml:space="preserve">4. Reconsider cross-platform vs two native apps; regenerate the Japanese summary once the rules are confirmed.</t>
  </si>
  <si>
    <t xml:space="preserve">Conversation Log — 'Build Truco Mobile Game' (Claude Sonnet 5)</t>
  </si>
  <si>
    <t xml:space="preserve">Turns 1-8 come from the source PDF; turn 9 onward is this chat. Prompts are verbatim (typos preserved). Outputs are condensed; code is catalogued on 'Engine Code Inventory' because several code lines are cut off in the source PDF. Blue = hardcoded input read from the transcript.</t>
  </si>
  <si>
    <t xml:space="preserve">Turn</t>
  </si>
  <si>
    <t xml:space="preserve">Prompt (verbatim)</t>
  </si>
  <si>
    <t xml:space="preserve">Output (condensed)</t>
  </si>
  <si>
    <t xml:space="preserve">Tools used</t>
  </si>
  <si>
    <t xml:space="preserve">Tool calls</t>
  </si>
  <si>
    <t xml:space="preserve">Context tokens</t>
  </si>
  <si>
    <t xml:space="preserve">Context % of window</t>
  </si>
  <si>
    <t xml:space="preserve">Outcome</t>
  </si>
  <si>
    <t xml:space="preserve">Analyst note</t>
  </si>
  <si>
    <t xml:space="preserve">If I were to try to make a truco mobil;e game with my friend through claude. How would you suggest to go about it?</t>
  </si>
  <si>
    <t xml:space="preserve">Claude proposed a 6-part approach:
1) Lock the rules first in a short Game Design Doc / RULES.md (variants differ: Argentine, Brazilian Paulista/Mineiro, Uruguayan, Chilean) so the model never guesses an ambiguous rule.
2) Separate engine (pure logic, TypeScript/Dart), UI layer (Flutter or React Native/Expo) and bot opponent from day one; the engine can be unit tested.
3) MVP build order: deck/deal &gt; trick-taking + win condition &gt; Truco/Retruco/Vale Cuatro &gt; Envido/Flor &gt; local hot-seat UI &gt; rule-based bot &gt; online multiplayer &gt; art/sound polish &gt; store listing.
4) Multiplayer is the main technical risk: server-authoritative state (Supabase or Firebase + Cloud Functions, or Node.js + WebSocket); re-validate moves server-side so hidden hands cannot be inspected.
5) Two-person workflow: shared GitHub repo, CLAUDE.md / project instructions, split work by layer, review AI-generated PRs, use small iterative prompts, prototype UI as HTML artifacts first.
6) Reminders: a Spanish 40-card art set is needed; avoid real-money betting mechanics for App Store / Play Store approval.
Ended by calling ask_user_questions (4 questions: variant, coding experience, multiplayer scope, tech stack).</t>
  </si>
  <si>
    <t xml:space="preserve">ask_user_questions</t>
  </si>
  <si>
    <t xml:space="preserve">Plan delivered</t>
  </si>
  <si>
    <t xml:space="preserve">Sound plan; flags rules-first, engine/UI split and server authority. Recommended cross-platform (Flutter/Expo), which the user later set aside. The 4 questions show as [Skipped] in the transcript; the user answered them in the next message.</t>
  </si>
  <si>
    <t xml:space="preserve">Q1 Which Truco variant? A: Argentine Truco (Envido, no Flor typically)
Q2 Coding experience? A: Beginners (little to no coding background)
Q3 Multiplayer scope? A: Online multiplayer with friends is a must-have from the start
Q4 Tech stack? A: Native iOS/Android separately</t>
  </si>
  <si>
    <t xml:space="preserve">Called this combination (beginners + online multiplayer from day one + separate native iOS/Android) the most ambitious version of the project and gave a 'reality check': three stacked skillsets (Swift, Kotlin, realtime backend). Advice: validate rules and multiplayer sync somewhere cheap first.
Step 1 - RULES.md for Argentine Truco: Spanish 40-card deck; ranking 1 Espada &gt; 1 Basto &gt; 7 Espada &gt; 7 Oro &gt; 3s &gt; 2s &gt; false aces &gt; 12s &gt; 11s &gt; 10s &gt; false sevens &gt; 6s &gt; 5s &gt; 4s; 3 tricks best-of-3 with parda (tie) rules; Envido = same-suit pips + 20 (face cards 0); Truco &gt; Retruco &gt; Vale Cuatro (1/2/3/4 pts); match to 15 or 30 (configurable); mano rotation.
Step 2 - Architecture: managed realtime backend (Firebase or Supabase), server-authoritative logic in Cloud/Edge Functions (JS or Python), thin native clients so the rules are written once.
Step 3 - Build order: rules doc &gt; backend engine &gt; bare web/CLI test client &gt; iOS (SwiftUI) &gt; Android (Kotlin/Compose) &gt; polish &gt; store prep.
Step 4 - Split: Friend A iOS, Friend B Android, pair on the backend engine.
Step 5 - Use Claude Code in small increments, treat Claude as a tutor, keep CLAUDE.md pointing to RULES.md.
Offered to draft RULES.md and the backend data model / state machine.</t>
  </si>
  <si>
    <t xml:space="preserve">None</t>
  </si>
  <si>
    <t xml:space="preserve">Scoped &amp; specified</t>
  </si>
  <si>
    <t xml:space="preserve">Good pushback on scope. Two native codebases plus a realtime backend for two beginners remains the main delivery risk.</t>
  </si>
  <si>
    <t xml:space="preserve">yes please</t>
  </si>
  <si>
    <t xml:space="preserve">Wrote and saved a note 'Truco Mobile App - Rules Spec &amp; Backend Design' and summarised it.
RULES.md (Argentine Truco): deck and ranking (14 power tiers), trick structure with full parda resolution, Envido scoring and call stack (Envido &gt; Envido Envido &gt; Real Envido &gt; Falta Envido), Truco escalation with accept/decline/raise values, match target and dealer rotation. Flagged that exact Envido point tables vary by house rules, so keep them configurable.
Backend design (Firebase): official Swift/Kotlin SDKs; server-authoritative principle (clients call Cloud Functions playCard, singEnvido, singTruco, respond); data model games/{gameId} plus a private per-player hand subcollection locked by security rules; full state machine (dealing &gt; envido window &gt; trick play &gt; truco pending &gt; round end &gt; match end).
Suggested sequence: pure TypeScript state machine + unit tests &gt; Cloud Functions wrapper &gt; throwaway HTML/JS test page &gt; SwiftUI/Compose clients. Offered to draft the TypeScript engine.</t>
  </si>
  <si>
    <t xml:space="preserve">write_note</t>
  </si>
  <si>
    <t xml:space="preserve">Specs saved</t>
  </si>
  <si>
    <t xml:space="preserve">Spec lives in Claude's notes tool, not yet in a repo. Envido table correctly flagged as a house-rule variable.</t>
  </si>
  <si>
    <t xml:space="preserve">Yes please.</t>
  </si>
  <si>
    <t xml:space="preserve">Said the sandbox had no Node.js, so validated core logic in Python first. Checked card ranking (14 distinct power tiers matching the spec) and Envido scoring (pairs, no-pairs, max 33): passed. Began translating to a TypeScript engine with state machine and tests; while reviewing found one bug - a const reassignment in respondToTruco (invalid JS/TS) - and fixed it. Started a Python mirror of the engine to simulate full games. Turn ended on tool calls with no final code delivered.</t>
  </si>
  <si>
    <t xml:space="preserve">execute_code x7</t>
  </si>
  <si>
    <t xml:space="preserve">In progress</t>
  </si>
  <si>
    <t xml:space="preserve">Honest disclosure of the Node.js gap. First bug caught. Context meter fell versus turn 3 (33,610 &lt; 38,425), unexplained.</t>
  </si>
  <si>
    <t xml:space="preserve">Continue. get me a summary of this conversation in Japanese so I can tell my friend. Make a handoff document to claude.</t>
  </si>
  <si>
    <t xml:space="preserve">Reported that the code sandbox was disconnecting (every execute_code call failed) and stopped retrying; relied on manual review plus the earlier validated algorithms.
Delivered the TypeScript engine in 5 files: types.ts (domain types), cards.ts (deck, shuffle, cardPower, envidoPip), envido.ts (envidoValue, call points, escalations, declined/accepted stacks), truco.ts (levels, values, legality), engine.ts (createGame, dealNewRound, playCard, trick/round resolution, singEnvido/respondToEnvido, singTruco/respondToTruco, finishRound, checkForMatchEnd).
Caveat stated clearly: the code is a hand-reviewed first draft, not verified by end-to-end execution; real unit tests must be the first task.
Provided a Japanese summary (approach, recommended steps, what was built, testing caveat) and saved a Claude Code handoff note: project status and decisions, mandatory first task (test suite with edge cases: parda, Envido stack math, falta envido, turn validation, match end), build order after the engine, and open questions (Envido point table, 15 vs 30 target).</t>
  </si>
  <si>
    <t xml:space="preserve">execute_code x11 (failed), write_note x1</t>
  </si>
  <si>
    <t xml:space="preserve">Delivered with caveat</t>
  </si>
  <si>
    <t xml:space="preserve">Large deliverable produced while tests could not run; the caveat was disclosed. The Japanese summary reflects the pre-bug-fix state.</t>
  </si>
  <si>
    <t xml:space="preserve">continue</t>
  </si>
  <si>
    <t xml:space="preserve">Re-ran validation once the sandbox returned. Found a discrepancy: RULES.md said 'tricks 1 and 2 both parda &gt; mano wins'. Checked the trucogame.com reglamento and Wikipedia: trick 3 decides, and mano only wins if all three tricks are parda. First concluded the code was right and the doc wrong, then found a real bug in determineRoundWinner's 3-trick fallback: [parda, parda, X] awarded the round to mano instead of the trick-3 winner.
The sandbox disconnected again; the fix was hand-verified with a 13-case matrix (see 'Parda Test Matrix'). Corrected the notes. Saved or updated 3 notes: Rules Spec &amp; Backend Design (corrected parda rule), Truco Engine Bug Fix Log, Claude Code Handoff (bug fix as required first task).
Deck integrity (40 unique cards, 14 power tiers) and Envido tests passed. Caveat: no fully stable end-to-end run. Stated it did not regenerate the Japanese summary or handoff as new documents, and offered a fresh Japanese summary.</t>
  </si>
  <si>
    <t xml:space="preserve">execute_code x11, search_web x2, fetch_url x2, write_note x2, view_note x1, replace_note_content x1</t>
  </si>
  <si>
    <t xml:space="preserve">Bug fixed (hand-verified)</t>
  </si>
  <si>
    <t xml:space="preserve">Context meter reads 1.46M vs a 1.0M window (146%): meter anomaly or compaction. Two successive diagnoses (doc bug, then code bug) show confidence before execution was unreliable. The corrected TypeScript function is not shown in the transcript.</t>
  </si>
  <si>
    <t xml:space="preserve">Said it would verify the sandbox and run a fuller end-to-end simulation (Envido and Truco flows, not just the parda case) before wrapping the engine in Cloud Functions. Issued one execute_code call. No results or further text appear in the transcript.</t>
  </si>
  <si>
    <t xml:space="preserve">execute_code x1</t>
  </si>
  <si>
    <t xml:space="preserve">No visible output</t>
  </si>
  <si>
    <t xml:space="preserve">Context back to 10.4%, which suggests compaction or a reset between turns 6 and 7.</t>
  </si>
  <si>
    <t xml:space="preserve">you're a JP Morgan analyst. write an excel file with all the prompts and outputs. Update this file for every output.</t>
  </si>
  <si>
    <t xml:space="preserve">No answer produced. Error banner: ExceededBudget - Spend = 2.1036, Budget = 2.0. The Excel request was never executed in that chat. (End-user ID in the banner omitted here.)</t>
  </si>
  <si>
    <t xml:space="preserve">Failed - budget cap</t>
  </si>
  <si>
    <t xml:space="preserve">Spend was about 5% over the cap. This workbook replaces the missing deliverable.</t>
  </si>
  <si>
    <t xml:space="preserve">continue where it left off.</t>
  </si>
  <si>
    <t xml:space="preserve">Picked up at turn 7 (run the engine end to end). The original files could not be recovered in full (code lines are cut off in the PDF), so I rebuilt the engine in TypeScript from the visible code and the spec and ran it on Node 22: 5 source files plus 38 tests. First run: 37 pass, 1 fail; the failure was a wrong turn order in my own test, fixed. Final: 38 of 38 pass, including 3,000 seeded random games in which every legal action was accepted and illegal actions threw GameError. The rebuild fixes or implements the review items (turn after accepted Truco, Envido timing, raise rights, Falta Envido on the leader's score, Envido in answer to Truco) and adds publicView() so clients never see the opponent's hand. Delivered truco-engine.zip with a README of the rule switches.</t>
  </si>
  <si>
    <t xml:space="preserve">bash_tool x6 (Node 22), file writes</t>
  </si>
  <si>
    <t xml:space="preserve">Engine rebuilt &amp; tested</t>
  </si>
  <si>
    <t xml:space="preserve">This is a rebuild from the visible code and spec, not a run of the original five files. Not yet built: Cloud Functions wrapper, Firestore rules, fold / Flor / more than two players.</t>
  </si>
  <si>
    <t xml:space="preserve">make a comprehensive list of next steps and execute the first one.</t>
  </si>
  <si>
    <t xml:space="preserve">Wrote a 20-step plan (see Next Steps sheet) and executed step 1: a playable hot-seat test page. The engine was bundled with esbuild into one HTML file (17 KB) with a pass-the-device screen between turns, buttons built from the engine's legalActions(), a plain-English event log and checkboxes for the three open rule switches. Published as an artifact and saved as truco-hotseat.html. Script syntax was checked; the page has not been click-tested in a browser.</t>
  </si>
  <si>
    <t xml:space="preserve">bash_tool x2 (esbuild bundle), Artifact publish</t>
  </si>
  <si>
    <t xml:space="preserve">Step 1 delivered</t>
  </si>
  <si>
    <t xml:space="preserve">Gives you and your friend a way to settle disputed rules by playing. Hot-seat only: both players share one screen, so there is no online play yet.</t>
  </si>
  <si>
    <t xml:space="preserve">continue step 1</t>
  </si>
  <si>
    <t xml:space="preserve">Click-tested the published page, which had only been syntax-checked. Loaded it in a simulated browser (jsdom) and played 40 complete games purely by clicking its buttons at random (15 and 30 targets, Envido-after-first-card switch on and off): 1,576 button clicks, 1,289 pass-the-device screens, every game reached a winner, no script errors, no error messages shown, event log never empty. Every kind of button appeared (all 40 cards, all four Envido calls, Quiero / No quiero, Truco / Retruco / Vale Cuatro). No changes to the page were needed.</t>
  </si>
  <si>
    <t xml:space="preserve">bash_tool x1 (jsdom)</t>
  </si>
  <si>
    <t xml:space="preserve">Step 1 verified</t>
  </si>
  <si>
    <t xml:space="preserve">Not covered: how the page looks (no real browser or screenshots here), and touch behaviour on a phone. Open it yourself and tell me what looks off.</t>
  </si>
  <si>
    <t xml:space="preserve">Continue</t>
  </si>
  <si>
    <t xml:space="preserve">Steps 2 and 3 need you and your friend, so I prepared them and the next two. Wrote RULES.md (the rules exactly as the engine plays them, with 11 open decisions in a table), CLAUDE.md (project context and conventions for future Claude sessions), and a .gitignore; re-zipped truco-engine.zip with them (38 of 38 tests still pass). Added a Rule Decisions sheet to this workbook with a yellow 'Your pick' column for each decision.</t>
  </si>
  <si>
    <t xml:space="preserve">bash_tool x2, file writes</t>
  </si>
  <si>
    <t xml:space="preserve">Steps 3-5 prepared</t>
  </si>
  <si>
    <t xml:space="preserve">The repo itself and the decisions still need you. D1-D4 and D6 are the ones most likely to differ from how you play.</t>
  </si>
  <si>
    <t xml:space="preserve">continue with the next steps. put all of this in a to do list so I can do it later.</t>
  </si>
  <si>
    <t xml:space="preserve">Built step 8, a rule-based computer opponent (src/bot.ts). It reads only its own hand and public information and always picks from the engine's legal actions. Tests added: 300 bot games checking it never makes an illegal move, 600 games against a random player (the normal bot won 66.2%, from either seat), and 600 mirror games (seat A won 48.2%, so no seat bias). Added a 'Player 2 is the computer' option to the test page and republished it at the same link; 25 UI-driven games against the computer ran clean, and the computer's hand is never shown. Added the My To-Do sheet (14 tasks for you, with how-to, rough time and a status dropdown). Final suite: 41 of 41 pass.</t>
  </si>
  <si>
    <t xml:space="preserve">bash_tool x6, Artifact publish</t>
  </si>
  <si>
    <t xml:space="preserve">Step 8 delivered; to-do list added</t>
  </si>
  <si>
    <t xml:space="preserve">The bot was tuned against a random opponent, so a human can probably beat it; treat it as a sparring partner. Win rates are from this sandbox's seeded runs.</t>
  </si>
  <si>
    <t xml:space="preserve">Continue with the project steps. Make all the files ready to upload in the github repository so I can share that with him.</t>
  </si>
  <si>
    <t xml:space="preserve">Packaged a ready-to-upload repository (truco-app-repo.zip, 22 files, no node_modules): README for non-coders, RULES.md, CLAUDE.md, TODO.md, docs (condensed HANDOFF.md, GITHUB-SETUP.md with click-by-click upload steps, this workbook), src (7 files), test, web (test table plus its template), a build script, package.json and lockfile, and a GitHub Actions workflow that runs the tests. Checks: a clean copy without node_modules passes all 41 tests; the page rebuilt from the repo with npm run build:web was click-tested again (40 two-player games and 25 games against the computer, no errors). Found and fixed a duplicate export line in src/browser.ts that broke the page build.</t>
  </si>
  <si>
    <t xml:space="preserve">bash_tool x9</t>
  </si>
  <si>
    <t xml:space="preserve">Repo package ready</t>
  </si>
  <si>
    <t xml:space="preserve">The GitHub workflow has not run on GitHub yet, so the first green tick in the Actions tab is the real test. The older truco-engine.zip is superseded by this package.</t>
  </si>
  <si>
    <t xml:space="preserve">Continue with the next 3 steps. Add v and the number of the version next to the files</t>
  </si>
  <si>
    <t xml:space="preserve">Executed Next Steps 10-12 (backend) and added version numbers to the files. Step 10: server layer in src/server (create game, join game, submit action, claim timeout, get view) over the engine, with storage injected; Cloud Functions wiring in functions/ exposing five callables. Step 11: Firestore data model and security rules (full records and hands only readable by the server, public state readable by the two players, hands readable only by their owner). Step 12: 90-second move timeout with a claim-the-round rule (new engine function forfeitRound), and resume by re-reading the game. Checks: 51 of 51 tests pass (10 new: 100 full games played only through the handlers with privacy checks, untrusted-input rejection, stale-write and concurrent-submit handling, timeouts); strict TypeScript check of all code passes; Functions compile and the compiled module loads in Node. Two failures along the way were mistakes in my own tests and were fixed. Files now carry versions: workbook v1.7, repo package v0.4.0, test page v0.4.0. Also corrected an earlier workbook entry that cited a 72% bot win rate and a tuning run: the delivered bot measures 66.2% (turn 13 row and its finding fixed).</t>
  </si>
  <si>
    <t xml:space="preserve">bash_tool x14</t>
  </si>
  <si>
    <t xml:space="preserve">Steps 10-12 delivered</t>
  </si>
  <si>
    <t xml:space="preserve">The Firebase wiring and the Firestore rules have never run on Firebase or its emulator and the rules have no automated tests, so the first emulator run and deploy will likely need fixes. Timeout policy (90 s) is my default: new decision D12.</t>
  </si>
  <si>
    <t xml:space="preserve">.</t>
  </si>
  <si>
    <t xml:space="preserve">Read as 'continue'. Built the online test page (web/online.html, also published as an artifact): two player panels talking to the real server handlers running inside the page over an in-memory store. Buttons come from the server's list of legal moves, each panel only receives its own hand, there is a fake clock to test the 90-second timeout, and cheat buttons (forged card out of turn, malformed move, a stranger asking to view the game, claiming a timeout too early) show the server rejecting them. To support it, server views now include legalActions (new test; 52 of 52 pass, strict type check passes). Click-tested in a simulated browser: 25 full games (662 moves) finished, no normal move was rejected, all 100 cheat attempts were rejected, 25 timeout claims worked, and the two panels never showed the same card. Answered 'how do I integrate Claude with GitHub' before this, from Anthropic's help article: repositories can be added to a chat or Project via 'Add from GitHub'; private repos need the Claude GitHub App granted access; the repo must fit the context window.</t>
  </si>
  <si>
    <t xml:space="preserve">bash_tool x14, web_search, Artifact publish</t>
  </si>
  <si>
    <t xml:space="preserve">Online test page delivered</t>
  </si>
  <si>
    <t xml:space="preserve">Still a local simulation: nothing here proves the Firebase wiring. My first test run of the page flagged errors that were a bug in my test (it matched the cheat log lines), not the page; the corrected run was clean.</t>
  </si>
  <si>
    <t xml:space="preserve">Continue. Upload progress to the truco folder on github</t>
  </si>
  <si>
    <t xml:space="preserve">Built step 15, phone screen mockups, as a design canvas (https://claude.ai/artifact/C1kT7AF7nd87YfZibLuG4B): four 390x844 screens - Home, Invite a friend (game code), Your move (table, score, hand, Envido / Truco), and Answer a call (Retruco sheet with Quiero / No quiero / raise). Look: felt-green ground, ivory cards, brass accent, serif display type. Card faces use rank plus suit name as placeholders; no real card art yet. Not checked on a real screen (first builds are kept lean and unverified). GitHub upload: I cannot push to your repo from this chat (no GitHub connection and no credentials), so I looked for a GitHub connector and prepared the files for a manual upload instead (repo v0.5.1).</t>
  </si>
  <si>
    <t xml:space="preserve">bash_tool x4, Artifact publish x2</t>
  </si>
  <si>
    <t xml:space="preserve">Mockups delivered; upload needs you</t>
  </si>
  <si>
    <t xml:space="preserve">Draft look for you and your friend to react to. Real card art, sounds and a mobile build still to come.</t>
  </si>
  <si>
    <t xml:space="preserve">Wrote a fresh Japanese summary of the project state (docs/HANDOFF.ja.md in the repo, also shown in chat): purpose, what exists, what is missing, the rule decisions to settle, next steps and cautions. The earlier Japanese summary (turn 5 of the source chat) predated the engine bug fixes, the server layer, the computer opponent and the mockups, so it was out of date. No code changed (52 of 52 tests still pass). Repo is v0.5.2.</t>
  </si>
  <si>
    <t xml:space="preserve">bash_tool x2</t>
  </si>
  <si>
    <t xml:space="preserve">Japanese summary delivered</t>
  </si>
  <si>
    <t xml:space="preserve">Needs a refresh after the rules are settled. Translation is mine and has not been reviewed by a second reader.</t>
  </si>
  <si>
    <t xml:space="preserve">Total</t>
  </si>
  <si>
    <t xml:space="preserve">My To-Do - things only you (and your friend) can do</t>
  </si>
  <si>
    <t xml:space="preserve">Ordered by when to do them. Times are my rough guesses. Pick a status in the yellow column. Claude's tasks are on the Next Steps sheet.</t>
  </si>
  <si>
    <t xml:space="preserve">#</t>
  </si>
  <si>
    <t xml:space="preserve">When</t>
  </si>
  <si>
    <t xml:space="preserve">Task</t>
  </si>
  <si>
    <t xml:space="preserve">How</t>
  </si>
  <si>
    <t xml:space="preserve">Rough time</t>
  </si>
  <si>
    <t xml:space="preserve">Unlocks</t>
  </si>
  <si>
    <t xml:space="preserve">Status</t>
  </si>
  <si>
    <t xml:space="preserve">Notes</t>
  </si>
  <si>
    <t xml:space="preserve">Now</t>
  </si>
  <si>
    <t xml:space="preserve">Play 10+ hands on the test page</t>
  </si>
  <si>
    <t xml:space="preserve">Open https://claude.ai/artifact/78hSvtNihJXfCv8FtPbPVw. Tick 'Player 2 is the computer' to play alone, or leave it off and pass the device with your friend. Write down anything that differs from how you actually play (scoring, who can call Envido, who leads after a tie).</t>
  </si>
  <si>
    <t xml:space="preserve">30-60 min</t>
  </si>
  <si>
    <t xml:space="preserve">Rule decisions</t>
  </si>
  <si>
    <t xml:space="preserve">Not started</t>
  </si>
  <si>
    <t xml:space="preserve">Fill in the Rule Decisions sheet</t>
  </si>
  <si>
    <t xml:space="preserve">Each of you fills the yellow 'Your pick' / 'Friend's pick' columns, then agree the 'Final' column together. D1-D4 and D6 matter most.</t>
  </si>
  <si>
    <t xml:space="preserve">20 min</t>
  </si>
  <si>
    <t xml:space="preserve">Updated engine and RULES.md</t>
  </si>
  <si>
    <t xml:space="preserve">Send me the final decisions</t>
  </si>
  <si>
    <t xml:space="preserve">Start a new message with the finished Rule Decisions sheet (paste it or upload the workbook). I will update RULES.md, the engine switches and the tests.</t>
  </si>
  <si>
    <t xml:space="preserve">2 min</t>
  </si>
  <si>
    <t xml:space="preserve">Rules locked</t>
  </si>
  <si>
    <t xml:space="preserve">Run the tests on your own computer</t>
  </si>
  <si>
    <t xml:space="preserve">Install Node.js (version 22.6 or newer) from nodejs.org, unzip truco-engine.zip, open a terminal in the 'truco' folder and type: npm test. You should see all tests pass. Ask Claude if anything fails.</t>
  </si>
  <si>
    <t xml:space="preserve">15 min</t>
  </si>
  <si>
    <t xml:space="preserve">Confirms the code runs outside this chat</t>
  </si>
  <si>
    <t xml:space="preserve">Soon</t>
  </si>
  <si>
    <t xml:space="preserve">Create the GitHub repo</t>
  </si>
  <si>
    <t xml:space="preserve">Make a GitHub account if needed, create a new private repository (e.g. 'truco-app'), upload the unzipped files with the web 'Add file &gt; Upload files' option, and invite your friend as a collaborator.</t>
  </si>
  <si>
    <t xml:space="preserve">30 min</t>
  </si>
  <si>
    <t xml:space="preserve">Shared code, Claude Code workflow</t>
  </si>
  <si>
    <t xml:space="preserve">Decide: two native apps or one cross-platform app</t>
  </si>
  <si>
    <t xml:space="preserve">Talk it through with your friend: which phones do you each have (iPhone or Android)? Cross-platform (Flutter or Expo) means one app and about half the screen work, which matters for two beginners. Tell me the decision.</t>
  </si>
  <si>
    <t xml:space="preserve">30 min talk</t>
  </si>
  <si>
    <t xml:space="preserve">Mobile app plan</t>
  </si>
  <si>
    <t xml:space="preserve">Create the Firebase project</t>
  </si>
  <si>
    <t xml:space="preserve">Sign in to the Firebase console with a Google account and create a project. Enable Authentication and Firestore. Cloud Functions may need a billing plan: check Firebase's current pricing page before enabling it and set a budget alert.</t>
  </si>
  <si>
    <t xml:space="preserve">30-45 min</t>
  </si>
  <si>
    <t xml:space="preserve">Backend and online play</t>
  </si>
  <si>
    <t xml:space="preserve">Install Firebase tools</t>
  </si>
  <si>
    <t xml:space="preserve">Install the Firebase command-line tools and run the local emulator so we can test without touching real data. Ask Claude Code to walk you through it step by step.</t>
  </si>
  <si>
    <t xml:space="preserve">Safe backend testing</t>
  </si>
  <si>
    <t xml:space="preserve">Later</t>
  </si>
  <si>
    <t xml:space="preserve">Review the screen mockups</t>
  </si>
  <si>
    <t xml:space="preserve">When I make the table/hand/call-button mockups, pick what looks right and say what to change. Phone screenshots of your reactions are enough.</t>
  </si>
  <si>
    <t xml:space="preserve">Mobile app build</t>
  </si>
  <si>
    <t xml:space="preserve">Decide how to get the card art</t>
  </si>
  <si>
    <t xml:space="preserve">Options: commission an artist, license a Spanish-deck set, or generate your own. Whatever you choose, confirm you may use it in a commercial app. Also pick sounds and the 'Truco!' voice lines.</t>
  </si>
  <si>
    <t xml:space="preserve">1-2 hours</t>
  </si>
  <si>
    <t xml:space="preserve">Polish</t>
  </si>
  <si>
    <t xml:space="preserve">Recruit 3-5 beta testers</t>
  </si>
  <si>
    <t xml:space="preserve">Friends or family with phones who will play a few games and tell you what broke.</t>
  </si>
  <si>
    <t xml:space="preserve">Private beta</t>
  </si>
  <si>
    <t xml:space="preserve">Create store developer accounts</t>
  </si>
  <si>
    <t xml:space="preserve">Apple Developer Program and Google Play Console both charge fees and need identity checks; look up the current prices and wait times before you commit.</t>
  </si>
  <si>
    <t xml:space="preserve">TestFlight / Play testing</t>
  </si>
  <si>
    <t xml:space="preserve">Privacy policy and store listing</t>
  </si>
  <si>
    <t xml:space="preserve">Ask me to draft a privacy policy for the app once we know what data it stores (sign-in and game records). You prepare screenshots and the description. Keep the app free of real-money betting.</t>
  </si>
  <si>
    <t xml:space="preserve">1 hour</t>
  </si>
  <si>
    <t xml:space="preserve">Store submission</t>
  </si>
  <si>
    <t xml:space="preserve">Ask for the Japanese summary again</t>
  </si>
  <si>
    <t xml:space="preserve">Once the rules are settled, ask me to regenerate the Japanese summary and handoff doc so your friend gets the current version.</t>
  </si>
  <si>
    <t xml:space="preserve">5 min</t>
  </si>
  <si>
    <t xml:space="preserve">Friend caught up</t>
  </si>
  <si>
    <t xml:space="preserve">Progress</t>
  </si>
  <si>
    <t xml:space="preserve">Next Steps - Truco app</t>
  </si>
  <si>
    <t xml:space="preserve">Owner: You / Friend / Claude / Both. Status is updated on every turn.</t>
  </si>
  <si>
    <t xml:space="preserve">Phase</t>
  </si>
  <si>
    <t xml:space="preserve">Step</t>
  </si>
  <si>
    <t xml:space="preserve">Owner</t>
  </si>
  <si>
    <t xml:space="preserve">Depends on</t>
  </si>
  <si>
    <t xml:space="preserve">Validate rules</t>
  </si>
  <si>
    <t xml:space="preserve">Play the engine in a browser (hot-seat test page) so you can try real hands and see disputed rules in action.</t>
  </si>
  <si>
    <t xml:space="preserve">Claude</t>
  </si>
  <si>
    <t xml:space="preserve">-</t>
  </si>
  <si>
    <t xml:space="preserve">Done, click-tested (turn 11)</t>
  </si>
  <si>
    <t xml:space="preserve">Play 10+ hands with your friend on the test page; note anything that feels wrong versus how you actually play.</t>
  </si>
  <si>
    <t xml:space="preserve">Both</t>
  </si>
  <si>
    <t xml:space="preserve">1</t>
  </si>
  <si>
    <t xml:space="preserve">Ready (try vs computer too)</t>
  </si>
  <si>
    <t xml:space="preserve">Decide the open rules: Falta Envido convention, Envido after the first card, Envido scoring table, who leads after a tied trick, 15 vs 30, fold (irse al mazo), Flor, Truco out of turn.</t>
  </si>
  <si>
    <t xml:space="preserve">2</t>
  </si>
  <si>
    <t xml:space="preserve">Ready (Rule Decisions sheet)</t>
  </si>
  <si>
    <t xml:space="preserve">Write the decisions into one RULES.md and set the matching switches in the engine; add tests for any new rule.</t>
  </si>
  <si>
    <t xml:space="preserve">3</t>
  </si>
  <si>
    <t xml:space="preserve">Draft ready (RULES.md)</t>
  </si>
  <si>
    <t xml:space="preserve">Foundation</t>
  </si>
  <si>
    <t xml:space="preserve">Create the GitHub repo; add the engine, tests, README, RULES.md and a CLAUDE.md so both of you (and Claude) share the same context.</t>
  </si>
  <si>
    <t xml:space="preserve">4</t>
  </si>
  <si>
    <t xml:space="preserve">Repo package ready (turn 14); you create the repo</t>
  </si>
  <si>
    <t xml:space="preserve">Decide the app approach: two native apps (Swift and Kotlin) or one cross-platform app (Flutter or Expo). Cross-platform halves the screen work for two beginners.</t>
  </si>
  <si>
    <t xml:space="preserve">To do</t>
  </si>
  <si>
    <t xml:space="preserve">Implement any rules you chose to add (fold, Flor, Truco out of turn) with tests.</t>
  </si>
  <si>
    <t xml:space="preserve">Build a simple computer opponent (rule-based) so one person can test alone.</t>
  </si>
  <si>
    <t xml:space="preserve">7</t>
  </si>
  <si>
    <t xml:space="preserve">Done (turn 13)</t>
  </si>
  <si>
    <t xml:space="preserve">Backend</t>
  </si>
  <si>
    <t xml:space="preserve">Create the Firebase project (Auth, Firestore, Cloud Functions) and run its local emulator.</t>
  </si>
  <si>
    <t xml:space="preserve">You</t>
  </si>
  <si>
    <t xml:space="preserve">5</t>
  </si>
  <si>
    <t xml:space="preserve">Wrap the engine in Cloud Functions: createGame, joinGame, and one action call that uses applyAction.</t>
  </si>
  <si>
    <t xml:space="preserve">9</t>
  </si>
  <si>
    <t xml:space="preserve">Done (turn 15): handlers tested; Firebase wiring type-checked only</t>
  </si>
  <si>
    <t xml:space="preserve">Store hands in a private per-player document and write Firestore security rules so the opponent can never read them; test the rules in the emulator.</t>
  </si>
  <si>
    <t xml:space="preserve">10</t>
  </si>
  <si>
    <t xml:space="preserve">Rules written (turn 15); emulator test still to do</t>
  </si>
  <si>
    <t xml:space="preserve">Handle disconnects, move timeouts, resuming a game and rematches.</t>
  </si>
  <si>
    <t xml:space="preserve">Timeouts + resume done (turn 15); rematch to do</t>
  </si>
  <si>
    <t xml:space="preserve">Online test</t>
  </si>
  <si>
    <t xml:space="preserve">Build a throwaway two-browser web client against the backend; play a full online match.</t>
  </si>
  <si>
    <t xml:space="preserve">11</t>
  </si>
  <si>
    <t xml:space="preserve">Done against a local server copy (turn 16); real Functions still to do</t>
  </si>
  <si>
    <t xml:space="preserve">Add sign-in and a lobby with invite links so a friend can join a game.</t>
  </si>
  <si>
    <t xml:space="preserve">13</t>
  </si>
  <si>
    <t xml:space="preserve">Mobile app</t>
  </si>
  <si>
    <t xml:space="preserve">Prototype the screens (table, hand, call buttons, score) as web mockups and agree the look.</t>
  </si>
  <si>
    <t xml:space="preserve">6</t>
  </si>
  <si>
    <t xml:space="preserve">Draft mockups ready (turn 17); agree the look</t>
  </si>
  <si>
    <t xml:space="preserve">Build the mobile client(s) on top of the working backend: lobby, table, animations.</t>
  </si>
  <si>
    <t xml:space="preserve">14, 15</t>
  </si>
  <si>
    <t xml:space="preserve">Assets</t>
  </si>
  <si>
    <t xml:space="preserve">Get the Spanish 40-card deck art (commission, license or generate), plus sounds and the 'Truco!' voice lines; check licensing.</t>
  </si>
  <si>
    <t xml:space="preserve">15</t>
  </si>
  <si>
    <t xml:space="preserve">Launch</t>
  </si>
  <si>
    <t xml:space="preserve">Private beta: TestFlight (iOS) and Play internal testing with a few friends; fix what breaks.</t>
  </si>
  <si>
    <t xml:space="preserve">16</t>
  </si>
  <si>
    <t xml:space="preserve">Store prep: developer accounts (check current fees), privacy policy, screenshots, descriptions; keep it free of real-money betting.</t>
  </si>
  <si>
    <t xml:space="preserve">18</t>
  </si>
  <si>
    <t xml:space="preserve">Housekeeping</t>
  </si>
  <si>
    <t xml:space="preserve">Regenerate the Japanese summary and handoff doc once rules are settled; start a fresh chat per task so the context window stays small.</t>
  </si>
  <si>
    <t xml:space="preserve">Draft done (turn 18); refresh after rules settle</t>
  </si>
  <si>
    <t xml:space="preserve">Rule Decisions - agree these with your friend</t>
  </si>
  <si>
    <t xml:space="preserve">Yellow cells are for you. Row 'Example' shows how to fill one in. The engine currently plays the 'Engine default' column; answers go into RULES.md (step 4).</t>
  </si>
  <si>
    <t xml:space="preserve">ID</t>
  </si>
  <si>
    <t xml:space="preserve">Question</t>
  </si>
  <si>
    <t xml:space="preserve">Engine default</t>
  </si>
  <si>
    <t xml:space="preserve">Alternative</t>
  </si>
  <si>
    <t xml:space="preserve">How it changes</t>
  </si>
  <si>
    <t xml:space="preserve">Your pick</t>
  </si>
  <si>
    <t xml:space="preserve">Friend's pick</t>
  </si>
  <si>
    <t xml:space="preserve">Final</t>
  </si>
  <si>
    <t xml:space="preserve">Example</t>
  </si>
  <si>
    <t xml:space="preserve">Does the second player cut the deck?</t>
  </si>
  <si>
    <t xml:space="preserve">(not a real rule)</t>
  </si>
  <si>
    <t xml:space="preserve">Yes / No</t>
  </si>
  <si>
    <t xml:space="preserve">n/a</t>
  </si>
  <si>
    <t xml:space="preserve">Yes</t>
  </si>
  <si>
    <t xml:space="preserve">No</t>
  </si>
  <si>
    <t xml:space="preserve">Discuss</t>
  </si>
  <si>
    <t xml:space="preserve">D1</t>
  </si>
  <si>
    <t xml:space="preserve">Accepted Falta Envido: replaces earlier Envido calls, or adds to them?</t>
  </si>
  <si>
    <t xml:space="preserve">Replaces</t>
  </si>
  <si>
    <t xml:space="preserve">Adds on top</t>
  </si>
  <si>
    <t xml:space="preserve">Switch faltaReplacesStack</t>
  </si>
  <si>
    <t xml:space="preserve">D2</t>
  </si>
  <si>
    <t xml:space="preserve">Falta Envido amount: what the leader still needs, or what the winner still needs?</t>
  </si>
  <si>
    <t xml:space="preserve">Leader</t>
  </si>
  <si>
    <t xml:space="preserve">Winner</t>
  </si>
  <si>
    <t xml:space="preserve">Code change (envido.ts)</t>
  </si>
  <si>
    <t xml:space="preserve">D3</t>
  </si>
  <si>
    <t xml:space="preserve">May the second player call Envido after mano's first card?</t>
  </si>
  <si>
    <t xml:space="preserve">Switch pieMayCallEnvidoAfterManoPlays</t>
  </si>
  <si>
    <t xml:space="preserve">D4</t>
  </si>
  <si>
    <t xml:space="preserve">After a tied trick, who leads the next one?</t>
  </si>
  <si>
    <t xml:space="preserve">Mano</t>
  </si>
  <si>
    <t xml:space="preserve">Leader of the tied trick</t>
  </si>
  <si>
    <t xml:space="preserve">Code change (engine.ts)</t>
  </si>
  <si>
    <t xml:space="preserve">D5</t>
  </si>
  <si>
    <t xml:space="preserve">Envido points: 2 / 2 / 3, declined = 1?</t>
  </si>
  <si>
    <t xml:space="preserve">As listed</t>
  </si>
  <si>
    <t xml:space="preserve">Your table</t>
  </si>
  <si>
    <t xml:space="preserve">Constants in envido.ts</t>
  </si>
  <si>
    <t xml:space="preserve">D6</t>
  </si>
  <si>
    <t xml:space="preserve">Match target</t>
  </si>
  <si>
    <t xml:space="preserve">30</t>
  </si>
  <si>
    <t xml:space="preserve">Switch scoreTarget</t>
  </si>
  <si>
    <t xml:space="preserve">D7</t>
  </si>
  <si>
    <t xml:space="preserve">Envido ties go to mano?</t>
  </si>
  <si>
    <t xml:space="preserve">Other rule</t>
  </si>
  <si>
    <t xml:space="preserve">D8</t>
  </si>
  <si>
    <t xml:space="preserve">Fold (irse al mazo): allowed, and what does it cost?</t>
  </si>
  <si>
    <t xml:space="preserve">Not implemented</t>
  </si>
  <si>
    <t xml:space="preserve">Add it</t>
  </si>
  <si>
    <t xml:space="preserve">New code and tests</t>
  </si>
  <si>
    <t xml:space="preserve">D9</t>
  </si>
  <si>
    <t xml:space="preserve">Flor (three cards of one suit)</t>
  </si>
  <si>
    <t xml:space="preserve">D10</t>
  </si>
  <si>
    <t xml:space="preserve">Truco called out of turn?</t>
  </si>
  <si>
    <t xml:space="preserve">No (own turn only)</t>
  </si>
  <si>
    <t xml:space="preserve">D11</t>
  </si>
  <si>
    <t xml:space="preserve">Envido allowed after Retruco or Vale Cuatro?</t>
  </si>
  <si>
    <t xml:space="preserve">Code change (canCallEnvido)</t>
  </si>
  <si>
    <t xml:space="preserve">D12</t>
  </si>
  <si>
    <t xml:space="preserve">Online play: time allowed per move and the cost of running out of time</t>
  </si>
  <si>
    <t xml:space="preserve">90 s; waiting player claims the round</t>
  </si>
  <si>
    <t xml:space="preserve">Another limit, or forfeit the match</t>
  </si>
  <si>
    <t xml:space="preserve">Constant turnSeconds (functions/src/index.ts)</t>
  </si>
  <si>
    <t xml:space="preserve">Findings &amp; Risk Register</t>
  </si>
  <si>
    <t xml:space="preserve">'Transcript' = stated in the chat. 'Analyst review' = my read of the code excerpts visible in the PDF (some lines are cut off), so each is marked Verify, not confirmed.</t>
  </si>
  <si>
    <t xml:space="preserve">Category</t>
  </si>
  <si>
    <t xml:space="preserve">Severity</t>
  </si>
  <si>
    <t xml:space="preserve">Finding</t>
  </si>
  <si>
    <t xml:space="preserve">Source</t>
  </si>
  <si>
    <t xml:space="preserve">Recommendation</t>
  </si>
  <si>
    <t xml:space="preserve">F01</t>
  </si>
  <si>
    <t xml:space="preserve">Scope</t>
  </si>
  <si>
    <t xml:space="preserve">High</t>
  </si>
  <si>
    <t xml:space="preserve">Beginners + online multiplayer from day one + two separate native apps (Swift and Kotlin) + a realtime backend stack three skillsets for a two-person beginner team.</t>
  </si>
  <si>
    <t xml:space="preserve">Transcript, turns 1-2</t>
  </si>
  <si>
    <t xml:space="preserve">Revisit the native-vs-cross-platform choice (Flutter or Expo was recommended in turn 1). Get a web/hot-seat version of the engine playable before any native work.</t>
  </si>
  <si>
    <t xml:space="preserve">Open</t>
  </si>
  <si>
    <t xml:space="preserve">F02</t>
  </si>
  <si>
    <t xml:space="preserve">Quality</t>
  </si>
  <si>
    <t xml:space="preserve">The TypeScript engine has never passed an end-to-end automated run. The sandbox had no Node.js and then disconnected repeatedly; checks were Python mirrors plus hand review.</t>
  </si>
  <si>
    <t xml:space="preserve">Transcript, turns 4-7</t>
  </si>
  <si>
    <t xml:space="preserve">Rebuilt engine now passes 38 tests including 3,000 simulated games (see Test Results). The original five files were never run: adopt the rebuild rather than the draft.</t>
  </si>
  <si>
    <t xml:space="preserve">Addressed in rebuild</t>
  </si>
  <si>
    <t xml:space="preserve">F03</t>
  </si>
  <si>
    <t xml:space="preserve">Bug</t>
  </si>
  <si>
    <t xml:space="preserve">Low</t>
  </si>
  <si>
    <t xml:space="preserve">const reassignment in respondToTruco (invalid JS/TS).</t>
  </si>
  <si>
    <t xml:space="preserve">Transcript, turns 4-5</t>
  </si>
  <si>
    <t xml:space="preserve">Confirm the repo version uses let.</t>
  </si>
  <si>
    <t xml:space="preserve">Resolved</t>
  </si>
  <si>
    <t xml:space="preserve">F04</t>
  </si>
  <si>
    <t xml:space="preserve">determineRoundWinner fallback: with tricks [parda, parda, X], the round went to mano instead of the winner of trick 3.</t>
  </si>
  <si>
    <t xml:space="preserve">Transcript, turn 6</t>
  </si>
  <si>
    <t xml:space="preserve">Confirm the corrected TypeScript is in the repo and covered by the 13-case matrix.</t>
  </si>
  <si>
    <t xml:space="preserve">Resolved (hand-verified)</t>
  </si>
  <si>
    <t xml:space="preserve">F05</t>
  </si>
  <si>
    <t xml:space="preserve">Documentation</t>
  </si>
  <si>
    <t xml:space="preserve">Medium</t>
  </si>
  <si>
    <t xml:space="preserve">RULES.md first said 'tricks 1 and 2 both parda: mano wins'. The Argentine reglamento says trick 3 decides. Three separate notes (rules, bug log, handoff) now have to stay in sync.</t>
  </si>
  <si>
    <t xml:space="preserve">Keep one RULES.md in the repo as the single source of truth.</t>
  </si>
  <si>
    <t xml:space="preserve">Resolved in notes</t>
  </si>
  <si>
    <t xml:space="preserve">F06</t>
  </si>
  <si>
    <t xml:space="preserve">Process</t>
  </si>
  <si>
    <t xml:space="preserve">Claude said it was confident in the logic before running tests (turn 5); running them in turn 6 found a real bug.</t>
  </si>
  <si>
    <t xml:space="preserve">Transcript, turns 5-6</t>
  </si>
  <si>
    <t xml:space="preserve">Treat any unexecuted logic as unverified; make tests a gate for every change.</t>
  </si>
  <si>
    <t xml:space="preserve">F07</t>
  </si>
  <si>
    <t xml:space="preserve">Deliverable</t>
  </si>
  <si>
    <t xml:space="preserve">The corrected determineRoundWinner TypeScript is not displayed in the transcript; only the Python-derived logic and the test matrix are.</t>
  </si>
  <si>
    <t xml:space="preserve">The rebuilt engine contains roundWinner, covered by the full matrix (see Test Results).</t>
  </si>
  <si>
    <t xml:space="preserve">F08</t>
  </si>
  <si>
    <t xml:space="preserve">The Japanese summary was written in turn 5, before the parda fix, so a friend reading it gets the pre-fix state.</t>
  </si>
  <si>
    <t xml:space="preserve">Regenerate the Japanese summary after the engine is tested.</t>
  </si>
  <si>
    <t xml:space="preserve">F09</t>
  </si>
  <si>
    <t xml:space="preserve">Session health</t>
  </si>
  <si>
    <t xml:space="preserve">Context meter is non-monotonic: 38.4k &gt; 33.6k (turns 3-4); 500.9k &gt; 1.457M (146% of a 1.0M window) &gt; 104.5k (turns 5-7).</t>
  </si>
  <si>
    <t xml:space="preserve">Transcript meters</t>
  </si>
  <si>
    <t xml:space="preserve">Likely compaction. Start a fresh chat per task and feed it the handoff doc.</t>
  </si>
  <si>
    <t xml:space="preserve">Info</t>
  </si>
  <si>
    <t xml:space="preserve">F10</t>
  </si>
  <si>
    <t xml:space="preserve">Turn 8 hit a spend cap (2.1036 vs 2.0, about 5% over); the Excel request was not executed in that chat.</t>
  </si>
  <si>
    <t xml:space="preserve">Transcript, turn 8</t>
  </si>
  <si>
    <t xml:space="preserve">Resolved by this workbook.</t>
  </si>
  <si>
    <t xml:space="preserve">F11</t>
  </si>
  <si>
    <t xml:space="preserve">Rules</t>
  </si>
  <si>
    <t xml:space="preserve">playCard sets envidoState.closed on the first card played by either player. If the second player (pie) may still call Envido after mano's first card, as in common Argentine play, this blocks it.</t>
  </si>
  <si>
    <t xml:space="preserve">Analyst review, engine.ts</t>
  </si>
  <si>
    <t xml:space="preserve">Rebuild closes Envido per caller (switch: pieMayCallEnvidoAfterManoPlays) and tests both settings. Still confirm the house rule with your friend.</t>
  </si>
  <si>
    <t xml:space="preserve">F12</t>
  </si>
  <si>
    <t xml:space="preserve">currentTrickTurn returns state.turn at the start of trick 2 or 3. After Truco is called by the trick leader and accepted, state.turn is the responder, so the wrong player may be on turn.</t>
  </si>
  <si>
    <t xml:space="preserve">Rebuild stores the leader on each trick; a test confirms the leader is on turn after an accepted Truco at the start of trick 2.</t>
  </si>
  <si>
    <t xml:space="preserve">F13</t>
  </si>
  <si>
    <t xml:space="preserve">isLegalTrucoEscalation only checks level + 1. In the visible excerpt nothing stops the player who made the last call from raising their own call.</t>
  </si>
  <si>
    <t xml:space="preserve">Analyst review, truco.ts / engine.ts</t>
  </si>
  <si>
    <t xml:space="preserve">Rebuild tracks raiseRight; tests confirm the caller cannot raise own call and the acceptor can.</t>
  </si>
  <si>
    <t xml:space="preserve">F14</t>
  </si>
  <si>
    <t xml:space="preserve">Falta Envido is computed from the winner's own score. Common practice uses the points the leading player still needs, which differs when the trailing player wins.</t>
  </si>
  <si>
    <t xml:space="preserve">Analyst review, envido.ts</t>
  </si>
  <si>
    <t xml:space="preserve">Rebuild uses the leader's score and tests a trailing winner. Still confirm the convention with your friend.</t>
  </si>
  <si>
    <t xml:space="preserve">F15</t>
  </si>
  <si>
    <t xml:space="preserve">After a parda trick the engine makes mano lead. Claude found sources that disagree (Brazilian rules vs mano-leads), so the Argentine convention should be confirmed.</t>
  </si>
  <si>
    <t xml:space="preserve">Transcript turn 6; analyst review</t>
  </si>
  <si>
    <t xml:space="preserve">Rebuilt engine makes mano lead and has a test. Still confirm with the friend and document in RULES.md.</t>
  </si>
  <si>
    <t xml:space="preserve">Verify</t>
  </si>
  <si>
    <t xml:space="preserve">F16</t>
  </si>
  <si>
    <t xml:space="preserve">Security</t>
  </si>
  <si>
    <t xml:space="preserve">GameState stores both players' hands in one object (commented 'keep server-side only').</t>
  </si>
  <si>
    <t xml:space="preserve">Analyst review, types.ts</t>
  </si>
  <si>
    <t xml:space="preserve">Rebuild adds publicView() (tested). Still enforce privacy with Firestore security rules.</t>
  </si>
  <si>
    <t xml:space="preserve">F17</t>
  </si>
  <si>
    <t xml:space="preserve">Open item</t>
  </si>
  <si>
    <t xml:space="preserve">Exact Envido point table and match target (15 vs 30) still need to be agreed by the two of you.</t>
  </si>
  <si>
    <t xml:space="preserve">Transcript, handoff doc</t>
  </si>
  <si>
    <t xml:space="preserve">Decide, then record in RULES.md.</t>
  </si>
  <si>
    <t xml:space="preserve">F18</t>
  </si>
  <si>
    <t xml:space="preserve">The rebuild sets faltaReplacesStack = true: an accepted Falta Envido pays only the falta amount. The original draft added it on top of earlier calls in the same stack.</t>
  </si>
  <si>
    <t xml:space="preserve">Rebuild vs original draft, envido.ts</t>
  </si>
  <si>
    <t xml:space="preserve">Pick one convention with your friend; it is a single flag in Rules.</t>
  </si>
  <si>
    <t xml:space="preserve">F19</t>
  </si>
  <si>
    <t xml:space="preserve">Not implemented in the rebuild: folding (irse al mazo), Flor, more than two players, calling Truco out of turn, and Envido answers at Truco levels above 1.</t>
  </si>
  <si>
    <t xml:space="preserve">Rebuild README</t>
  </si>
  <si>
    <t xml:space="preserve">Decide which of these your group actually plays before building the UI.</t>
  </si>
  <si>
    <t xml:space="preserve">F20</t>
  </si>
  <si>
    <t xml:space="preserve">The computer opponent is a simple threshold-based player: 66.2% against a random player and an even split against itself. An experienced human can probably beat it; it is a sparring partner, not a strength benchmark.</t>
  </si>
  <si>
    <t xml:space="preserve">Turn 13 tests</t>
  </si>
  <si>
    <t xml:space="preserve">Re-tune against real hands played by you and your friend if you want it harder.</t>
  </si>
  <si>
    <t xml:space="preserve">F21</t>
  </si>
  <si>
    <t xml:space="preserve">Cloud Functions wiring and Firestore rules (v0.4.0) type-check and compile, and the compiled module loads in Node, but they have never run against Firebase or its emulator.</t>
  </si>
  <si>
    <t xml:space="preserve">Turn 15</t>
  </si>
  <si>
    <t xml:space="preserve">Run the emulator and deploy per docs/BACKEND.md; expect a fix or two; add emulator tests for the rules.</t>
  </si>
  <si>
    <t xml:space="preserve">F22</t>
  </si>
  <si>
    <t xml:space="preserve">Firestore security rules have no automated tests, so a mistake could expose a hand or block play.</t>
  </si>
  <si>
    <t xml:space="preserve">Add emulator-based rules tests (Claude) once the Firebase project exists.</t>
  </si>
  <si>
    <t xml:space="preserve">F23</t>
  </si>
  <si>
    <t xml:space="preserve">Online timeout policy is my default: 90 s per move, then the waiting player may claim the round.</t>
  </si>
  <si>
    <t xml:space="preserve">Confirm with your friend (new decision D12).</t>
  </si>
  <si>
    <t xml:space="preserve">F24</t>
  </si>
  <si>
    <t xml:space="preserve">Next step</t>
  </si>
  <si>
    <t xml:space="preserve">Next: create the Firebase project, run the emulator, deploy, then build the throwaway two-browser web client.</t>
  </si>
  <si>
    <t xml:space="preserve">Next Steps sheet</t>
  </si>
  <si>
    <t xml:space="preserve">Follow docs/BACKEND.md and report what happens.</t>
  </si>
  <si>
    <t xml:space="preserve">Engine Code Inventory (original draft from turn 5, plus the rebuild)</t>
  </si>
  <si>
    <t xml:space="preserve">First five rows: the original draft as shown in the PDF (cut-off lines not reproduced). Sixth row: the rebuild delivered in this chat.</t>
  </si>
  <si>
    <t xml:space="preserve">File</t>
  </si>
  <si>
    <t xml:space="preserve">Purpose</t>
  </si>
  <si>
    <t xml:space="preserve">Key exports</t>
  </si>
  <si>
    <t xml:space="preserve">Verification so far</t>
  </si>
  <si>
    <t xml:space="preserve">Review notes</t>
  </si>
  <si>
    <t xml:space="preserve">src/engine/types.ts</t>
  </si>
  <si>
    <t xml:space="preserve">Pure domain types, no framework dependencies</t>
  </si>
  <si>
    <t xml:space="preserve">Suit, Rank, Card, EnvidoState, TrucoState, Phase (8 phases), Trick, PlayerHand, GameLogEntry, GameState</t>
  </si>
  <si>
    <t xml:space="preserve">Types only; nothing to execute</t>
  </si>
  <si>
    <t xml:space="preserve">GameState holds both hands; the file notes they must stay server-side (see F16). TrucoLevel 4 and phase 'waiting_for_player' appear unused.</t>
  </si>
  <si>
    <t xml:space="preserve">src/engine/cards.ts</t>
  </si>
  <si>
    <t xml:space="preserve">Deck, shuffle, card strength, Envido pips</t>
  </si>
  <si>
    <t xml:space="preserve">buildDeck (40 cards), shuffle (Fisher-Yates, injectable RNG), cardPower (14 tiers), compareCards, envidoPip, cardEquals, cardLabel</t>
  </si>
  <si>
    <t xml:space="preserve">Ranking and 40-card integrity checked in a Python mirror</t>
  </si>
  <si>
    <t xml:space="preserve">Ranking matches the stated Argentine order.</t>
  </si>
  <si>
    <t xml:space="preserve">src/engine/envido.ts</t>
  </si>
  <si>
    <t xml:space="preserve">Envido value, call points, escalation legality</t>
  </si>
  <si>
    <t xml:space="preserve">envidoValue (max 33), ENVIDO_CALL_POINTS (2 / 2 / 3 / falta; declined = 1), legalEnvidoEscalations, pointsForDeclinedStack, pointsForAcceptedStack</t>
  </si>
  <si>
    <t xml:space="preserve">Scoring (pairs, no-pairs, max 33) checked in Python; stack math hand-reviewed</t>
  </si>
  <si>
    <t xml:space="preserve">Falta Envido uses the winner's score (see F14). Point table is centralised, so it is easy to change.</t>
  </si>
  <si>
    <t xml:space="preserve">src/engine/truco.ts</t>
  </si>
  <si>
    <t xml:space="preserve">Truco levels and point values</t>
  </si>
  <si>
    <t xml:space="preserve">TRUCO_LEVEL_LABEL, TRUCO_LEVEL_VALUE (1/2/3/4), pointsForDeclinedTruco, MAX_TRUCO_LEVEL = 3, isLegalTrucoEscalation</t>
  </si>
  <si>
    <t xml:space="preserve">Hand-reviewed only</t>
  </si>
  <si>
    <t xml:space="preserve">Escalation check is level + 1 only (see F13).</t>
  </si>
  <si>
    <t xml:space="preserve">src/engine/engine.ts</t>
  </si>
  <si>
    <t xml:space="preserve">Pure state machine; illegal actions throw GameError</t>
  </si>
  <si>
    <t xml:space="preserve">createGame, dealNewRound, playCard, resolveTrick, determineRoundWinner, singEnvido, respondToEnvido, currentTrickTurn, singTruco, respondToTruco, finishRound, checkForMatchEnd</t>
  </si>
  <si>
    <t xml:space="preserve">Hand-reviewed; const bug and parda bug found and fixed; no end-to-end run</t>
  </si>
  <si>
    <t xml:space="preserve">See F11 (Envido closing), F12 (turn after accepted Truco). Immutable updates via JSON clone.</t>
  </si>
  <si>
    <t xml:space="preserve">truco-engine.zip (rebuild)</t>
  </si>
  <si>
    <t xml:space="preserve">Rebuilt engine and tests, delivered in this chat</t>
  </si>
  <si>
    <t xml:space="preserve">types.ts, cards.ts, envido.ts, truco.ts, engine.ts (roundWinner, canCallEnvido, singEnvido, respondToEnvido, singTruco, respondToTruco, applyAction, legalActions, publicView) and test/engine.test.ts</t>
  </si>
  <si>
    <t xml:space="preserve">38 tests pass on Node 22, including 3,000 simulated games</t>
  </si>
  <si>
    <t xml:space="preserve">Replaces the draft. Differences: raise rights, Envido timing per caller, Falta on the leader's score, Envido in answer to Truco, publicView; phases simplified to four (no envido_window or round_end).</t>
  </si>
  <si>
    <t xml:space="preserve">Claude notes (not in this file)</t>
  </si>
  <si>
    <t xml:space="preserve">Three notes saved in the source chat</t>
  </si>
  <si>
    <t xml:space="preserve">Truco Mobile App - Rules Spec &amp; Backend Design; Truco Engine - Bug Fix Log (Parda Tie-Break Logic); Claude Code Handoff - Truco Argentino Mobile App</t>
  </si>
  <si>
    <t xml:space="preserve">Copy into the repo as RULES.md and CLAUDE.md so both of you work from the same text.</t>
  </si>
  <si>
    <t xml:space="preserve">Round-Winner Test Matrix (2 players: A and B; 'parda' = tied trick)</t>
  </si>
  <si>
    <t xml:space="preserve">Rows 1-14 come from the hand-traced matrix in turn 6; rows 15-18 come from my code review. All 18 now run as automated tests on the rebuilt engine (see Test Results). 'Executed?' refers to the rebuild, not the original files.</t>
  </si>
  <si>
    <t xml:space="preserve">Trick 1</t>
  </si>
  <si>
    <t xml:space="preserve">Trick 2</t>
  </si>
  <si>
    <t xml:space="preserve">Trick 3</t>
  </si>
  <si>
    <t xml:space="preserve">Expected round winner</t>
  </si>
  <si>
    <t xml:space="preserve">Rationale</t>
  </si>
  <si>
    <t xml:space="preserve">Executed?</t>
  </si>
  <si>
    <t xml:space="preserve">Origin</t>
  </si>
  <si>
    <t xml:space="preserve">parda</t>
  </si>
  <si>
    <t xml:space="preserve">B</t>
  </si>
  <si>
    <t xml:space="preserve">Trick 2 decisive after a tied trick 1</t>
  </si>
  <si>
    <t xml:space="preserve">Yes - passed (node --test)</t>
  </si>
  <si>
    <t xml:space="preserve">A</t>
  </si>
  <si>
    <t xml:space="preserve">Trick 1 winner takes it when trick 2 is tied</t>
  </si>
  <si>
    <t xml:space="preserve">Two trick wins ends the round after trick 2</t>
  </si>
  <si>
    <t xml:space="preserve">1-1 split; trick 3 decides</t>
  </si>
  <si>
    <t xml:space="preserve">1-1 split, trick 3 tied: first trick winner takes it ('primera vale doble')</t>
  </si>
  <si>
    <t xml:space="preserve">1-1 split, trick 3 tied: first trick winner takes it</t>
  </si>
  <si>
    <t xml:space="preserve">The bug case: trick 3 winner takes the round, not mano</t>
  </si>
  <si>
    <t xml:space="preserve">mano</t>
  </si>
  <si>
    <t xml:space="preserve">Only case where mano wins by the all-parda rule</t>
  </si>
  <si>
    <t xml:space="preserve">none yet</t>
  </si>
  <si>
    <t xml:space="preserve">Trick 3 is needed; the round is not decided</t>
  </si>
  <si>
    <t xml:space="preserve">Truco called and accepted at the start of trick 2</t>
  </si>
  <si>
    <t xml:space="preserve">Turn returns to the trick-2 leader</t>
  </si>
  <si>
    <t xml:space="preserve">Added from review; related finding F12</t>
  </si>
  <si>
    <t xml:space="preserve">Analyst review</t>
  </si>
  <si>
    <t xml:space="preserve">Pie calls Envido after mano's first card</t>
  </si>
  <si>
    <t xml:space="preserve">Allowed or rejected per the agreed house rule</t>
  </si>
  <si>
    <t xml:space="preserve">Added from review; related finding F11</t>
  </si>
  <si>
    <t xml:space="preserve">Falta Envido won by the trailing player</t>
  </si>
  <si>
    <t xml:space="preserve">Points follow the agreed convention</t>
  </si>
  <si>
    <t xml:space="preserve">Added from review; related finding F14</t>
  </si>
  <si>
    <t xml:space="preserve">Caller of Truco tries to raise to Retruco themselves</t>
  </si>
  <si>
    <t xml:space="preserve">Rejected (ILLEGAL escalation)</t>
  </si>
  <si>
    <t xml:space="preserve">Added from review; related finding F13</t>
  </si>
  <si>
    <t xml:space="preserve">Test Results - rebuilt engine and server layer (Node 22, node --test)</t>
  </si>
  <si>
    <t xml:space="preserve">Run 2026-10-06, repo v0.5.0: 52 of 52 pass (engine, computer opponent, server handlers). Earlier: first engine run 37/38 (one wrong turn order in my own test, fixed); a server-test run showed 2 failures, both mistakes in my tests, fixed.</t>
  </si>
  <si>
    <t xml:space="preserve">Suite</t>
  </si>
  <si>
    <t xml:space="preserve">Test</t>
  </si>
  <si>
    <t xml:space="preserve">Result</t>
  </si>
  <si>
    <t xml:space="preserve">cards</t>
  </si>
  <si>
    <t xml:space="preserve">deck has 40 unique cards and 14 power tiers</t>
  </si>
  <si>
    <t xml:space="preserve">Pass</t>
  </si>
  <si>
    <t xml:space="preserve">ranking order</t>
  </si>
  <si>
    <t xml:space="preserve">envido scoring</t>
  </si>
  <si>
    <t xml:space="preserve">hand values</t>
  </si>
  <si>
    <t xml:space="preserve">escalation table</t>
  </si>
  <si>
    <t xml:space="preserve">accepted and declined stacks</t>
  </si>
  <si>
    <t xml:space="preserve">falta envido uses the leader's score and honours the stack flag</t>
  </si>
  <si>
    <t xml:space="preserve">round winner (parda matrix from the handoff doc)</t>
  </si>
  <si>
    <t xml:space="preserve">["parda","B"]</t>
  </si>
  <si>
    <t xml:space="preserve">["parda","A"]</t>
  </si>
  <si>
    <t xml:space="preserve">["A","parda"]</t>
  </si>
  <si>
    <t xml:space="preserve">["B","parda"]</t>
  </si>
  <si>
    <t xml:space="preserve">["A","A"]</t>
  </si>
  <si>
    <t xml:space="preserve">["B","B"]</t>
  </si>
  <si>
    <t xml:space="preserve">["A","B"]</t>
  </si>
  <si>
    <t xml:space="preserve">["parda","parda"]</t>
  </si>
  <si>
    <t xml:space="preserve">["A","B","A"]</t>
  </si>
  <si>
    <t xml:space="preserve">["A","B","B"]</t>
  </si>
  <si>
    <t xml:space="preserve">["A","B","parda"]</t>
  </si>
  <si>
    <t xml:space="preserve">["B","A","parda"]</t>
  </si>
  <si>
    <t xml:space="preserve">["parda","parda","A"]</t>
  </si>
  <si>
    <t xml:space="preserve">["parda","parda","B"]</t>
  </si>
  <si>
    <t xml:space="preserve">["parda","parda","parda"]</t>
  </si>
  <si>
    <t xml:space="preserve">truco</t>
  </si>
  <si>
    <t xml:space="preserve">values</t>
  </si>
  <si>
    <t xml:space="preserve">caller cannot raise own call; acceptor can</t>
  </si>
  <si>
    <t xml:space="preserve">raise while answering; declining the raise pays the previous level</t>
  </si>
  <si>
    <t xml:space="preserve">vale cuatro is the ceiling</t>
  </si>
  <si>
    <t xml:space="preserve">declined truco awards points, redeals, rotates dealer</t>
  </si>
  <si>
    <t xml:space="preserve">turn handling (earlier review flags)</t>
  </si>
  <si>
    <t xml:space="preserve">after Truco is accepted at the start of trick 2, the trick leader is on turn</t>
  </si>
  <si>
    <t xml:space="preserve">after a parda trick, mano leads</t>
  </si>
  <si>
    <t xml:space="preserve">envido timing and interplay</t>
  </si>
  <si>
    <t xml:space="preserve">pie may call Envido after mano's first card (default); blocked when the rule is off</t>
  </si>
  <si>
    <t xml:space="preserve">envido is closed once the caller has played, or trick 1 is over</t>
  </si>
  <si>
    <t xml:space="preserve">envido in answer to Truco, then Truco resumes</t>
  </si>
  <si>
    <t xml:space="preserve">envido ties go to mano; declined envido pays the caller 1</t>
  </si>
  <si>
    <t xml:space="preserve">falta envido won by the trailing player pays what the leader lacks</t>
  </si>
  <si>
    <t xml:space="preserve">match end and guard rails</t>
  </si>
  <si>
    <t xml:space="preserve">round win that reaches the target ends the match</t>
  </si>
  <si>
    <t xml:space="preserve">illegal actions throw GameError</t>
  </si>
  <si>
    <t xml:space="preserve">input state is never mutated</t>
  </si>
  <si>
    <t xml:space="preserve">publicView hides the opponent's cards</t>
  </si>
  <si>
    <t xml:space="preserve">full-game simulation</t>
  </si>
  <si>
    <t xml:space="preserve">3000 seeded random games finish, stay consistent, and every legal action is accepted</t>
  </si>
  <si>
    <t xml:space="preserve">computer opponent</t>
  </si>
  <si>
    <t xml:space="preserve">bot only ever plays legal moves and finishes games (both levels, 15 and 30)</t>
  </si>
  <si>
    <t xml:space="preserve">normal bot beats the random bot clearly, from either seat</t>
  </si>
  <si>
    <t xml:space="preserve">normal vs normal is roughly even (no seat bias)</t>
  </si>
  <si>
    <t xml:space="preserve">engine: forfeitRound</t>
  </si>
  <si>
    <t xml:space="preserve">opponent gets the round value; unanswered Truco counts as declined; wrong player rejected</t>
  </si>
  <si>
    <t xml:space="preserve">lobby</t>
  </si>
  <si>
    <t xml:space="preserve">create, join, view</t>
  </si>
  <si>
    <t xml:space="preserve">outsiders cannot view or act</t>
  </si>
  <si>
    <t xml:space="preserve">rules input is sanitised</t>
  </si>
  <si>
    <t xml:space="preserve">legal actions in views</t>
  </si>
  <si>
    <t xml:space="preserve">only the player on turn gets moves, and they match the engine</t>
  </si>
  <si>
    <t xml:space="preserve">untrusted input</t>
  </si>
  <si>
    <t xml:space="preserve">parseAction accepts good actions and rejects junk</t>
  </si>
  <si>
    <t xml:space="preserve">illegal moves come back as ILLEGAL_MOVE with the engine code</t>
  </si>
  <si>
    <t xml:space="preserve">timeouts and concurrency</t>
  </si>
  <si>
    <t xml:space="preserve">claimTimeout only after the deadline, only by the waiting player</t>
  </si>
  <si>
    <t xml:space="preserve">a stale write is rejected, not silently applied</t>
  </si>
  <si>
    <t xml:space="preserve">two submits against the same version: exactly one wins</t>
  </si>
  <si>
    <t xml:space="preserve">privacy and full games through the handlers</t>
  </si>
  <si>
    <t xml:space="preserve">100 games played only through handlers: no leaks, consistent views, game ends</t>
  </si>
  <si>
    <t xml:space="preserve">Simulation statistics (from the test run output)</t>
  </si>
  <si>
    <t xml:space="preserve">Bot wins vs random player (of 600)</t>
  </si>
  <si>
    <t xml:space="preserve">Games simulated</t>
  </si>
  <si>
    <t xml:space="preserve">Rounds played</t>
  </si>
  <si>
    <t xml:space="preserve">Actions applied</t>
  </si>
  <si>
    <t xml:space="preserve">Envido accepted</t>
  </si>
  <si>
    <t xml:space="preserve">Envido declined</t>
  </si>
  <si>
    <t xml:space="preserve">Most actions in one game</t>
  </si>
  <si>
    <t xml:space="preserve">Average actions per game</t>
  </si>
  <si>
    <t xml:space="preserve">Average rounds per game</t>
  </si>
  <si>
    <t xml:space="preserve">Each simulated game used seeded random choices among legalActions(); targets alternated 15 and 30; every step asserted unique cards, non-negative scores, and that the player not on turn is rejected.</t>
  </si>
  <si>
    <t xml:space="preserve">Update Log</t>
  </si>
  <si>
    <t xml:space="preserve">You asked for this file to be updated for every output. Each future update adds a row here and extends the other sheets.</t>
  </si>
  <si>
    <t xml:space="preserve">Version</t>
  </si>
  <si>
    <t xml:space="preserve">Date</t>
  </si>
  <si>
    <t xml:space="preserve">Trigger</t>
  </si>
  <si>
    <t xml:space="preserve">Changes</t>
  </si>
  <si>
    <t xml:space="preserve">1.0</t>
  </si>
  <si>
    <t xml:space="preserve">2026-10-04</t>
  </si>
  <si>
    <t xml:space="preserve">Request: analyse the uploaded Truco chat as a JP Morgan analyst; log all prompts and outputs</t>
  </si>
  <si>
    <t xml:space="preserve">Created: Summary, Conversation Log (8 turns), Findings (17 items), Engine Code Inventory, Parda Test Matrix, Update Log.</t>
  </si>
  <si>
    <t xml:space="preserve">1.1</t>
  </si>
  <si>
    <t xml:space="preserve">Request: 'continue where it left off' (turn 7 of the source chat: run the engine end to end)</t>
  </si>
  <si>
    <t xml:space="preserve">Added turn 9 to the log; added Test Results sheet; findings F02, F07, F11-F14, F16 set to 'Addressed in rebuild' and F18-F20 added; matrix rows marked executed; inventory row for the rebuild; Summary metrics and conclusions refreshed.</t>
  </si>
  <si>
    <t xml:space="preserve">1.2</t>
  </si>
  <si>
    <t xml:space="preserve">Request: comprehensive list of next steps; execute the first</t>
  </si>
  <si>
    <t xml:space="preserve">Added turn 10 to the log; added Next Steps sheet (20 steps, step 1 marked Done); step 1 delivered as the hot-seat test page.</t>
  </si>
  <si>
    <t xml:space="preserve">1.3</t>
  </si>
  <si>
    <t xml:space="preserve">Request: continue step 1</t>
  </si>
  <si>
    <t xml:space="preserve">Added turn 11 (40 UI-driven games, no errors); Next Steps step 1 now 'Done, click-tested'.</t>
  </si>
  <si>
    <t xml:space="preserve">1.4</t>
  </si>
  <si>
    <t xml:space="preserve">Request: continue</t>
  </si>
  <si>
    <t xml:space="preserve">Added turn 12; added Rule Decisions sheet; RULES.md, CLAUDE.md and .gitignore added to truco-engine.zip; Next Steps 3-5 statuses updated.</t>
  </si>
  <si>
    <t xml:space="preserve">1.5</t>
  </si>
  <si>
    <t xml:space="preserve">Request: continue with the next steps; put everything in a to-do list</t>
  </si>
  <si>
    <t xml:space="preserve">Added turn 13; computer opponent built and tested (Next Steps step 8 done); page republished with vs-computer mode; added My To-Do sheet; Test Results now 41 tests plus bot win rate; finding F20 added.</t>
  </si>
  <si>
    <t xml:space="preserve">1.6</t>
  </si>
  <si>
    <t xml:space="preserve">2026-10-05</t>
  </si>
  <si>
    <t xml:space="preserve">Request: make all files ready for the GitHub repository</t>
  </si>
  <si>
    <t xml:space="preserve">Added turn 14; step 5 status updated; repo package truco-app-repo.zip created (22 files).</t>
  </si>
  <si>
    <t xml:space="preserve">1.7</t>
  </si>
  <si>
    <t xml:space="preserve">Request: next 3 steps; version numbers on files</t>
  </si>
  <si>
    <t xml:space="preserve">Added turn 15; Next Steps 10-12 updated; 3 findings and decision D12 added; Test Results now 51 tests; corrected the turn 13 bot win rate (66.2%, not 72%) and the related finding; files now versioned (workbook v1.7, repo v0.4.0).</t>
  </si>
  <si>
    <t xml:space="preserve">1.8</t>
  </si>
  <si>
    <t xml:space="preserve">2026-10-06</t>
  </si>
  <si>
    <t xml:space="preserve">Request: '.' (continue)</t>
  </si>
  <si>
    <t xml:space="preserve">Added turn 16; online test page built and tested; Test Results now 52 tests; step 13 status updated; files versioned v1.8 / v0.5.0.</t>
  </si>
  <si>
    <t xml:space="preserve">1.9</t>
  </si>
  <si>
    <t xml:space="preserve">2026-10-07</t>
  </si>
  <si>
    <t xml:space="preserve">Request: continue; upload to GitHub</t>
  </si>
  <si>
    <t xml:space="preserve">Added turn 17; step 15 status updated (mockups); repo package v0.5.1 prepared for manual upload; files versioned v1.9 / v0.5.1.</t>
  </si>
  <si>
    <t xml:space="preserve">1.10</t>
  </si>
  <si>
    <t xml:space="preserve">Added turn 18 (Japanese summary); step 20 status updated; repo v0.5.2 with docs/HANDOFF.ja.md; files versioned v1.10 / v0.5.2.</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</si>
</sst>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General"/>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sz val="10"/>
      <name val="Arial"/>
      <family val="0"/>
      <charset val="1"/>
    </font>
    <font>
      <b val="true"/>
      <sz val="10"/>
      <name val="Arial"/>
      <family val="0"/>
      <charset val="1"/>
    </font>
    <font>
      <i val="true"/>
      <sz val="10"/>
      <color rgb="FF7F7F7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FE699"/>
      </patternFill>
    </fill>
    <fill>
      <patternFill patternType="solid">
        <fgColor rgb="FFC6E0B4"/>
        <bgColor rgb="FFD9D9D9"/>
      </patternFill>
    </fill>
    <fill>
      <patternFill patternType="solid">
        <fgColor rgb="FFF8CBAD"/>
        <bgColor rgb="FFFFE699"/>
      </patternFill>
    </fill>
    <fill>
      <patternFill patternType="solid">
        <fgColor rgb="FFFFE699"/>
        <bgColor rgb="FFFFF2CC"/>
      </patternFill>
    </fill>
    <fill>
      <patternFill patternType="solid">
        <fgColor rgb="FFD9D9D9"/>
        <bgColor rgb="FFC6E0B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9" fontId="8"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8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row>
    <row r="5" customFormat="false" ht="15" hidden="false" customHeight="false" outlineLevel="0" collapsed="false">
      <c r="A5" s="0" t="s">
        <v>3</v>
      </c>
      <c r="B5" s="5" t="n">
        <v>1000000</v>
      </c>
      <c r="C5" s="6" t="s">
        <v>4</v>
      </c>
    </row>
    <row r="6" customFormat="false" ht="15" hidden="false" customHeight="false" outlineLevel="0" collapsed="false">
      <c r="A6" s="0" t="s">
        <v>5</v>
      </c>
      <c r="B6" s="7" t="s">
        <v>6</v>
      </c>
      <c r="C6" s="6" t="s">
        <v>7</v>
      </c>
    </row>
    <row r="8" customFormat="false" ht="15" hidden="false" customHeight="false" outlineLevel="0" collapsed="false">
      <c r="A8" s="3" t="s">
        <v>8</v>
      </c>
      <c r="B8" s="4"/>
      <c r="C8" s="4"/>
    </row>
    <row r="9" customFormat="false" ht="15" hidden="false" customHeight="false" outlineLevel="0" collapsed="false">
      <c r="A9" s="8" t="s">
        <v>9</v>
      </c>
      <c r="B9" s="9" t="n">
        <f aca="false">COUNTA('Conversation Log'!A5:A22)</f>
        <v>18</v>
      </c>
      <c r="C9" s="8" t="s">
        <v>10</v>
      </c>
    </row>
    <row r="10" customFormat="false" ht="15" hidden="false" customHeight="false" outlineLevel="0" collapsed="false">
      <c r="A10" s="8" t="s">
        <v>11</v>
      </c>
      <c r="B10" s="9" t="n">
        <f aca="false">'Conversation Log'!E23</f>
        <v>107</v>
      </c>
      <c r="C10" s="8" t="s">
        <v>12</v>
      </c>
    </row>
    <row r="11" customFormat="false" ht="15" hidden="false" customHeight="false" outlineLevel="0" collapsed="false">
      <c r="A11" s="8" t="s">
        <v>13</v>
      </c>
      <c r="B11" s="10" t="n">
        <f aca="false">MAX('Conversation Log'!F5:F22)</f>
        <v>1457229</v>
      </c>
      <c r="C11" s="8" t="s">
        <v>14</v>
      </c>
    </row>
    <row r="12" customFormat="false" ht="15" hidden="false" customHeight="false" outlineLevel="0" collapsed="false">
      <c r="A12" s="8" t="s">
        <v>15</v>
      </c>
      <c r="B12" s="11" t="n">
        <f aca="false">MAX('Conversation Log'!G5:G22)</f>
        <v>1.457229</v>
      </c>
      <c r="C12" s="8" t="s">
        <v>16</v>
      </c>
    </row>
    <row r="13" customFormat="false" ht="15" hidden="false" customHeight="false" outlineLevel="0" collapsed="false">
      <c r="A13" s="8" t="s">
        <v>17</v>
      </c>
      <c r="B13" s="9" t="n">
        <f aca="false">COUNTIF('Conversation Log'!F5:F22,"&gt;"&amp;B5)</f>
        <v>1</v>
      </c>
      <c r="C13" s="8"/>
    </row>
    <row r="14" customFormat="false" ht="15" hidden="false" customHeight="false" outlineLevel="0" collapsed="false">
      <c r="A14" s="8" t="s">
        <v>18</v>
      </c>
      <c r="B14" s="9" t="n">
        <f aca="false">COUNTA(Findings!A5:A48)</f>
        <v>24</v>
      </c>
      <c r="C14" s="8"/>
    </row>
    <row r="15" customFormat="false" ht="15" hidden="false" customHeight="false" outlineLevel="0" collapsed="false">
      <c r="A15" s="8" t="s">
        <v>19</v>
      </c>
      <c r="B15" s="9" t="n">
        <f aca="false">COUNTIFS(Findings!C5:C48,"High",Findings!G5:G48,"&lt;&gt;Resolved*",Findings!G5:G48,"&lt;&gt;Addressed*")</f>
        <v>1</v>
      </c>
      <c r="C15" s="8" t="s">
        <v>20</v>
      </c>
    </row>
    <row r="16" customFormat="false" ht="15" hidden="false" customHeight="false" outlineLevel="0" collapsed="false">
      <c r="A16" s="8" t="s">
        <v>21</v>
      </c>
      <c r="B16" s="9" t="n">
        <f aca="false">COUNTIFS(Findings!G5:G48,"Open")+COUNTIFS(Findings!G5:G48,"Verify")</f>
        <v>12</v>
      </c>
      <c r="C16" s="8"/>
    </row>
    <row r="17" customFormat="false" ht="15" hidden="false" customHeight="false" outlineLevel="0" collapsed="false">
      <c r="A17" s="8" t="s">
        <v>22</v>
      </c>
      <c r="B17" s="9" t="n">
        <f aca="false">COUNTIFS(Findings!B5:B48,"Bug",Findings!G5:G48,"Resolved*")+COUNTIFS(Findings!B5:B48,"Bug",Findings!G5:G48,"Addressed*")</f>
        <v>3</v>
      </c>
      <c r="C17" s="8" t="s">
        <v>23</v>
      </c>
    </row>
    <row r="18" customFormat="false" ht="15" hidden="false" customHeight="false" outlineLevel="0" collapsed="false">
      <c r="A18" s="8" t="s">
        <v>24</v>
      </c>
      <c r="B18" s="9" t="n">
        <f aca="false">COUNTIF('Parda Test Matrix'!G5:G23,"Yes*")</f>
        <v>18</v>
      </c>
      <c r="C18" s="8" t="s">
        <v>25</v>
      </c>
    </row>
    <row r="19" customFormat="false" ht="15" hidden="false" customHeight="false" outlineLevel="0" collapsed="false">
      <c r="A19" s="8" t="s">
        <v>26</v>
      </c>
      <c r="B19" s="9" t="n">
        <f aca="false">COUNTIF('Test Results'!D5:D56,"Pass")</f>
        <v>52</v>
      </c>
      <c r="C19" s="8" t="s">
        <v>27</v>
      </c>
    </row>
    <row r="21" customFormat="false" ht="15" hidden="false" customHeight="false" outlineLevel="0" collapsed="false">
      <c r="A21" s="3" t="s">
        <v>28</v>
      </c>
      <c r="B21" s="4"/>
      <c r="C21" s="4"/>
    </row>
    <row r="22" customFormat="false" ht="31.5" hidden="false" customHeight="true" outlineLevel="0" collapsed="false">
      <c r="A22" s="12" t="s">
        <v>29</v>
      </c>
      <c r="B22" s="12"/>
      <c r="C22" s="12"/>
    </row>
    <row r="23" customFormat="false" ht="31.5" hidden="false" customHeight="true" outlineLevel="0" collapsed="false">
      <c r="A23" s="12" t="s">
        <v>30</v>
      </c>
      <c r="B23" s="12"/>
      <c r="C23" s="12"/>
    </row>
    <row r="24" customFormat="false" ht="31.5" hidden="false" customHeight="true" outlineLevel="0" collapsed="false">
      <c r="A24" s="12" t="s">
        <v>31</v>
      </c>
      <c r="B24" s="12"/>
      <c r="C24" s="12"/>
    </row>
    <row r="25" customFormat="false" ht="31.5" hidden="false" customHeight="true" outlineLevel="0" collapsed="false">
      <c r="A25" s="12" t="s">
        <v>32</v>
      </c>
      <c r="B25" s="12"/>
      <c r="C25" s="12"/>
    </row>
    <row r="26" customFormat="false" ht="31.5" hidden="false" customHeight="true" outlineLevel="0" collapsed="false">
      <c r="A26" s="12" t="s">
        <v>33</v>
      </c>
      <c r="B26" s="12"/>
      <c r="C26" s="12"/>
    </row>
    <row r="28" customFormat="false" ht="15" hidden="false" customHeight="false" outlineLevel="0" collapsed="false">
      <c r="A28" s="3" t="s">
        <v>34</v>
      </c>
      <c r="B28" s="4"/>
      <c r="C28" s="4"/>
    </row>
    <row r="29" customFormat="false" ht="27.75" hidden="false" customHeight="true" outlineLevel="0" collapsed="false">
      <c r="A29" s="12" t="s">
        <v>35</v>
      </c>
      <c r="B29" s="12"/>
      <c r="C29" s="12"/>
    </row>
    <row r="30" customFormat="false" ht="27.75" hidden="false" customHeight="true" outlineLevel="0" collapsed="false">
      <c r="A30" s="12" t="s">
        <v>36</v>
      </c>
      <c r="B30" s="12"/>
      <c r="C30" s="12"/>
    </row>
    <row r="31" customFormat="false" ht="27.75" hidden="false" customHeight="true" outlineLevel="0" collapsed="false">
      <c r="A31" s="12" t="s">
        <v>37</v>
      </c>
      <c r="B31" s="12"/>
      <c r="C31" s="12"/>
    </row>
    <row r="32" customFormat="false" ht="27.75" hidden="false" customHeight="true" outlineLevel="0" collapsed="false">
      <c r="A32" s="12" t="s">
        <v>38</v>
      </c>
      <c r="B32" s="12"/>
      <c r="C32" s="12"/>
    </row>
  </sheetData>
  <mergeCells count="9">
    <mergeCell ref="A22:C22"/>
    <mergeCell ref="A23:C23"/>
    <mergeCell ref="A24:C24"/>
    <mergeCell ref="A25:C25"/>
    <mergeCell ref="A26:C26"/>
    <mergeCell ref="A29:C29"/>
    <mergeCell ref="A30:C30"/>
    <mergeCell ref="A31:C31"/>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95"/>
    <col collapsed="false" customWidth="true" hidden="false" outlineLevel="0" max="4" min="4" style="0" width="30"/>
    <col collapsed="false" customWidth="true" hidden="false" outlineLevel="0" max="5" min="5" style="0" width="9"/>
    <col collapsed="false" customWidth="true" hidden="false" outlineLevel="0" max="6" min="6" style="0" width="13"/>
    <col collapsed="false" customWidth="true" hidden="false" outlineLevel="0" max="7" min="7" style="0" width="12"/>
    <col collapsed="false" customWidth="true" hidden="false" outlineLevel="0" max="8" min="8" style="0" width="18"/>
    <col collapsed="false" customWidth="true" hidden="false" outlineLevel="0" max="9" min="9" style="0" width="48"/>
  </cols>
  <sheetData>
    <row r="1" customFormat="false" ht="17.35" hidden="false" customHeight="false" outlineLevel="0" collapsed="false">
      <c r="A1" s="1" t="s">
        <v>39</v>
      </c>
    </row>
    <row r="2" customFormat="false" ht="15" hidden="false" customHeight="false" outlineLevel="0" collapsed="false">
      <c r="A2" s="2" t="s">
        <v>40</v>
      </c>
    </row>
    <row r="4" customFormat="false" ht="30" hidden="false" customHeight="true" outlineLevel="0" collapsed="false">
      <c r="A4" s="13" t="s">
        <v>41</v>
      </c>
      <c r="B4" s="13" t="s">
        <v>42</v>
      </c>
      <c r="C4" s="13" t="s">
        <v>43</v>
      </c>
      <c r="D4" s="13" t="s">
        <v>44</v>
      </c>
      <c r="E4" s="13" t="s">
        <v>45</v>
      </c>
      <c r="F4" s="13" t="s">
        <v>46</v>
      </c>
      <c r="G4" s="13" t="s">
        <v>47</v>
      </c>
      <c r="H4" s="13" t="s">
        <v>48</v>
      </c>
      <c r="I4" s="13" t="s">
        <v>49</v>
      </c>
    </row>
    <row r="5" customFormat="false" ht="204" hidden="false" customHeight="true" outlineLevel="0" collapsed="false">
      <c r="A5" s="14" t="n">
        <v>1</v>
      </c>
      <c r="B5" s="15" t="s">
        <v>50</v>
      </c>
      <c r="C5" s="15" t="s">
        <v>51</v>
      </c>
      <c r="D5" s="15" t="s">
        <v>52</v>
      </c>
      <c r="E5" s="16" t="n">
        <v>1</v>
      </c>
      <c r="F5" s="17" t="n">
        <v>12689</v>
      </c>
      <c r="G5" s="18" t="n">
        <f aca="false">IF(F5="","",F5/Summary!$B$5)</f>
        <v>0.012689</v>
      </c>
      <c r="H5" s="15" t="s">
        <v>53</v>
      </c>
      <c r="I5" s="15" t="s">
        <v>54</v>
      </c>
    </row>
    <row r="6" customFormat="false" ht="191.25" hidden="false" customHeight="true" outlineLevel="0" collapsed="false">
      <c r="A6" s="14" t="n">
        <v>2</v>
      </c>
      <c r="B6" s="15" t="s">
        <v>55</v>
      </c>
      <c r="C6" s="15" t="s">
        <v>56</v>
      </c>
      <c r="D6" s="15" t="s">
        <v>57</v>
      </c>
      <c r="E6" s="16" t="n">
        <v>0</v>
      </c>
      <c r="F6" s="17" t="n">
        <v>15325</v>
      </c>
      <c r="G6" s="18" t="n">
        <f aca="false">IF(F6="","",F6/Summary!$B$5)</f>
        <v>0.015325</v>
      </c>
      <c r="H6" s="15" t="s">
        <v>58</v>
      </c>
      <c r="I6" s="15" t="s">
        <v>59</v>
      </c>
    </row>
    <row r="7" customFormat="false" ht="141" hidden="false" customHeight="true" outlineLevel="0" collapsed="false">
      <c r="A7" s="14" t="n">
        <v>3</v>
      </c>
      <c r="B7" s="15" t="s">
        <v>60</v>
      </c>
      <c r="C7" s="15" t="s">
        <v>61</v>
      </c>
      <c r="D7" s="15" t="s">
        <v>62</v>
      </c>
      <c r="E7" s="16" t="n">
        <v>1</v>
      </c>
      <c r="F7" s="17" t="n">
        <v>38425</v>
      </c>
      <c r="G7" s="18" t="n">
        <f aca="false">IF(F7="","",F7/Summary!$B$5)</f>
        <v>0.038425</v>
      </c>
      <c r="H7" s="15" t="s">
        <v>63</v>
      </c>
      <c r="I7" s="15" t="s">
        <v>64</v>
      </c>
    </row>
    <row r="8" customFormat="false" ht="66" hidden="false" customHeight="true" outlineLevel="0" collapsed="false">
      <c r="A8" s="14" t="n">
        <v>4</v>
      </c>
      <c r="B8" s="15" t="s">
        <v>65</v>
      </c>
      <c r="C8" s="15" t="s">
        <v>66</v>
      </c>
      <c r="D8" s="15" t="s">
        <v>67</v>
      </c>
      <c r="E8" s="16" t="n">
        <v>7</v>
      </c>
      <c r="F8" s="17" t="n">
        <v>33610</v>
      </c>
      <c r="G8" s="18" t="n">
        <f aca="false">IF(F8="","",F8/Summary!$B$5)</f>
        <v>0.03361</v>
      </c>
      <c r="H8" s="15" t="s">
        <v>68</v>
      </c>
      <c r="I8" s="15" t="s">
        <v>69</v>
      </c>
    </row>
    <row r="9" customFormat="false" ht="153.75" hidden="false" customHeight="true" outlineLevel="0" collapsed="false">
      <c r="A9" s="14" t="n">
        <v>5</v>
      </c>
      <c r="B9" s="15" t="s">
        <v>70</v>
      </c>
      <c r="C9" s="15" t="s">
        <v>71</v>
      </c>
      <c r="D9" s="15" t="s">
        <v>72</v>
      </c>
      <c r="E9" s="16" t="n">
        <v>12</v>
      </c>
      <c r="F9" s="17" t="n">
        <v>500904</v>
      </c>
      <c r="G9" s="18" t="n">
        <f aca="false">IF(F9="","",F9/Summary!$B$5)</f>
        <v>0.500904</v>
      </c>
      <c r="H9" s="15" t="s">
        <v>73</v>
      </c>
      <c r="I9" s="15" t="s">
        <v>74</v>
      </c>
    </row>
    <row r="10" customFormat="false" ht="141" hidden="false" customHeight="true" outlineLevel="0" collapsed="false">
      <c r="A10" s="14" t="n">
        <v>6</v>
      </c>
      <c r="B10" s="15" t="s">
        <v>75</v>
      </c>
      <c r="C10" s="15" t="s">
        <v>76</v>
      </c>
      <c r="D10" s="15" t="s">
        <v>77</v>
      </c>
      <c r="E10" s="16" t="n">
        <v>19</v>
      </c>
      <c r="F10" s="17" t="n">
        <v>1457229</v>
      </c>
      <c r="G10" s="18" t="n">
        <f aca="false">IF(F10="","",F10/Summary!$B$5)</f>
        <v>1.457229</v>
      </c>
      <c r="H10" s="15" t="s">
        <v>78</v>
      </c>
      <c r="I10" s="15" t="s">
        <v>79</v>
      </c>
    </row>
    <row r="11" customFormat="false" ht="41.25" hidden="false" customHeight="true" outlineLevel="0" collapsed="false">
      <c r="A11" s="14" t="n">
        <v>7</v>
      </c>
      <c r="B11" s="15" t="s">
        <v>75</v>
      </c>
      <c r="C11" s="15" t="s">
        <v>80</v>
      </c>
      <c r="D11" s="15" t="s">
        <v>81</v>
      </c>
      <c r="E11" s="16" t="n">
        <v>1</v>
      </c>
      <c r="F11" s="17" t="n">
        <v>104487</v>
      </c>
      <c r="G11" s="18" t="n">
        <f aca="false">IF(F11="","",F11/Summary!$B$5)</f>
        <v>0.104487</v>
      </c>
      <c r="H11" s="15" t="s">
        <v>82</v>
      </c>
      <c r="I11" s="15" t="s">
        <v>83</v>
      </c>
    </row>
    <row r="12" customFormat="false" ht="41.25" hidden="false" customHeight="true" outlineLevel="0" collapsed="false">
      <c r="A12" s="14" t="n">
        <v>8</v>
      </c>
      <c r="B12" s="15" t="s">
        <v>84</v>
      </c>
      <c r="C12" s="15" t="s">
        <v>85</v>
      </c>
      <c r="D12" s="15" t="s">
        <v>57</v>
      </c>
      <c r="E12" s="16" t="n">
        <v>0</v>
      </c>
      <c r="F12" s="17"/>
      <c r="G12" s="18" t="str">
        <f aca="false">IF(F12="","",F12/Summary!$B$5)</f>
        <v/>
      </c>
      <c r="H12" s="15" t="s">
        <v>86</v>
      </c>
      <c r="I12" s="15" t="s">
        <v>87</v>
      </c>
    </row>
    <row r="13" customFormat="false" ht="103.5" hidden="false" customHeight="true" outlineLevel="0" collapsed="false">
      <c r="A13" s="14" t="n">
        <v>9</v>
      </c>
      <c r="B13" s="15" t="s">
        <v>88</v>
      </c>
      <c r="C13" s="15" t="s">
        <v>89</v>
      </c>
      <c r="D13" s="15" t="s">
        <v>90</v>
      </c>
      <c r="E13" s="16" t="n">
        <v>6</v>
      </c>
      <c r="F13" s="17"/>
      <c r="G13" s="18" t="str">
        <f aca="false">IF(F13="","",F13/Summary!$B$5)</f>
        <v/>
      </c>
      <c r="H13" s="15" t="s">
        <v>91</v>
      </c>
      <c r="I13" s="15" t="s">
        <v>92</v>
      </c>
    </row>
    <row r="14" customFormat="false" ht="66" hidden="false" customHeight="true" outlineLevel="0" collapsed="false">
      <c r="A14" s="14" t="n">
        <v>10</v>
      </c>
      <c r="B14" s="15" t="s">
        <v>93</v>
      </c>
      <c r="C14" s="15" t="s">
        <v>94</v>
      </c>
      <c r="D14" s="15" t="s">
        <v>95</v>
      </c>
      <c r="E14" s="16" t="n">
        <v>3</v>
      </c>
      <c r="F14" s="17"/>
      <c r="G14" s="18" t="str">
        <f aca="false">IF(F14="","",F14/Summary!$B$5)</f>
        <v/>
      </c>
      <c r="H14" s="15" t="s">
        <v>96</v>
      </c>
      <c r="I14" s="15" t="s">
        <v>97</v>
      </c>
    </row>
    <row r="15" customFormat="false" ht="78.75" hidden="false" customHeight="true" outlineLevel="0" collapsed="false">
      <c r="A15" s="14" t="n">
        <v>11</v>
      </c>
      <c r="B15" s="15" t="s">
        <v>98</v>
      </c>
      <c r="C15" s="15" t="s">
        <v>99</v>
      </c>
      <c r="D15" s="15" t="s">
        <v>100</v>
      </c>
      <c r="E15" s="16" t="n">
        <v>1</v>
      </c>
      <c r="F15" s="17"/>
      <c r="G15" s="18" t="str">
        <f aca="false">IF(F15="","",F15/Summary!$B$5)</f>
        <v/>
      </c>
      <c r="H15" s="15" t="s">
        <v>101</v>
      </c>
      <c r="I15" s="15" t="s">
        <v>102</v>
      </c>
    </row>
    <row r="16" customFormat="false" ht="66" hidden="false" customHeight="true" outlineLevel="0" collapsed="false">
      <c r="A16" s="14" t="n">
        <v>12</v>
      </c>
      <c r="B16" s="15" t="s">
        <v>103</v>
      </c>
      <c r="C16" s="15" t="s">
        <v>104</v>
      </c>
      <c r="D16" s="15" t="s">
        <v>105</v>
      </c>
      <c r="E16" s="16" t="n">
        <v>2</v>
      </c>
      <c r="F16" s="17"/>
      <c r="G16" s="18" t="str">
        <f aca="false">IF(F16="","",F16/Summary!$B$5)</f>
        <v/>
      </c>
      <c r="H16" s="15" t="s">
        <v>106</v>
      </c>
      <c r="I16" s="15" t="s">
        <v>107</v>
      </c>
    </row>
    <row r="17" customFormat="false" ht="91.5" hidden="false" customHeight="true" outlineLevel="0" collapsed="false">
      <c r="A17" s="14" t="n">
        <v>13</v>
      </c>
      <c r="B17" s="15" t="s">
        <v>108</v>
      </c>
      <c r="C17" s="15" t="s">
        <v>109</v>
      </c>
      <c r="D17" s="15" t="s">
        <v>110</v>
      </c>
      <c r="E17" s="16" t="n">
        <v>7</v>
      </c>
      <c r="F17" s="17"/>
      <c r="G17" s="18" t="str">
        <f aca="false">IF(F17="","",F17/Summary!$B$5)</f>
        <v/>
      </c>
      <c r="H17" s="15" t="s">
        <v>111</v>
      </c>
      <c r="I17" s="15" t="s">
        <v>112</v>
      </c>
    </row>
    <row r="18" customFormat="false" ht="91.5" hidden="false" customHeight="true" outlineLevel="0" collapsed="false">
      <c r="A18" s="14" t="n">
        <v>14</v>
      </c>
      <c r="B18" s="15" t="s">
        <v>113</v>
      </c>
      <c r="C18" s="15" t="s">
        <v>114</v>
      </c>
      <c r="D18" s="15" t="s">
        <v>115</v>
      </c>
      <c r="E18" s="16" t="n">
        <v>9</v>
      </c>
      <c r="F18" s="17"/>
      <c r="G18" s="18" t="str">
        <f aca="false">IF(F18="","",F18/Summary!$B$5)</f>
        <v/>
      </c>
      <c r="H18" s="15" t="s">
        <v>116</v>
      </c>
      <c r="I18" s="15" t="s">
        <v>117</v>
      </c>
    </row>
    <row r="19" customFormat="false" ht="166.5" hidden="false" customHeight="true" outlineLevel="0" collapsed="false">
      <c r="A19" s="14" t="n">
        <v>15</v>
      </c>
      <c r="B19" s="15" t="s">
        <v>118</v>
      </c>
      <c r="C19" s="15" t="s">
        <v>119</v>
      </c>
      <c r="D19" s="15" t="s">
        <v>120</v>
      </c>
      <c r="E19" s="16" t="n">
        <v>14</v>
      </c>
      <c r="F19" s="17"/>
      <c r="G19" s="18" t="str">
        <f aca="false">IF(F19="","",F19/Summary!$B$5)</f>
        <v/>
      </c>
      <c r="H19" s="15" t="s">
        <v>121</v>
      </c>
      <c r="I19" s="15" t="s">
        <v>122</v>
      </c>
    </row>
    <row r="20" customFormat="false" ht="141" hidden="false" customHeight="true" outlineLevel="0" collapsed="false">
      <c r="A20" s="14" t="n">
        <v>16</v>
      </c>
      <c r="B20" s="15" t="s">
        <v>123</v>
      </c>
      <c r="C20" s="15" t="s">
        <v>124</v>
      </c>
      <c r="D20" s="15" t="s">
        <v>125</v>
      </c>
      <c r="E20" s="16" t="n">
        <v>16</v>
      </c>
      <c r="F20" s="17"/>
      <c r="G20" s="18" t="str">
        <f aca="false">IF(F20="","",F20/Summary!$B$5)</f>
        <v/>
      </c>
      <c r="H20" s="15" t="s">
        <v>126</v>
      </c>
      <c r="I20" s="15" t="s">
        <v>127</v>
      </c>
    </row>
    <row r="21" customFormat="false" ht="103.5" hidden="false" customHeight="true" outlineLevel="0" collapsed="false">
      <c r="A21" s="14" t="n">
        <v>17</v>
      </c>
      <c r="B21" s="15" t="s">
        <v>128</v>
      </c>
      <c r="C21" s="15" t="s">
        <v>129</v>
      </c>
      <c r="D21" s="15" t="s">
        <v>130</v>
      </c>
      <c r="E21" s="16" t="n">
        <v>6</v>
      </c>
      <c r="F21" s="17"/>
      <c r="G21" s="18" t="str">
        <f aca="false">IF(F21="","",F21/Summary!$B$5)</f>
        <v/>
      </c>
      <c r="H21" s="15" t="s">
        <v>131</v>
      </c>
      <c r="I21" s="15" t="s">
        <v>132</v>
      </c>
    </row>
    <row r="22" customFormat="false" ht="66" hidden="false" customHeight="true" outlineLevel="0" collapsed="false">
      <c r="A22" s="14" t="n">
        <v>18</v>
      </c>
      <c r="B22" s="15" t="s">
        <v>75</v>
      </c>
      <c r="C22" s="15" t="s">
        <v>133</v>
      </c>
      <c r="D22" s="15" t="s">
        <v>134</v>
      </c>
      <c r="E22" s="16" t="n">
        <v>2</v>
      </c>
      <c r="F22" s="17"/>
      <c r="G22" s="18" t="str">
        <f aca="false">IF(F22="","",F22/Summary!$B$5)</f>
        <v/>
      </c>
      <c r="H22" s="15" t="s">
        <v>135</v>
      </c>
      <c r="I22" s="15" t="s">
        <v>136</v>
      </c>
    </row>
    <row r="23" customFormat="false" ht="15" hidden="false" customHeight="false" outlineLevel="0" collapsed="false">
      <c r="A23" s="19" t="s">
        <v>137</v>
      </c>
      <c r="B23" s="20"/>
      <c r="C23" s="20"/>
      <c r="D23" s="20"/>
      <c r="E23" s="21" t="n">
        <f aca="false">SUM(E5:E22)</f>
        <v>107</v>
      </c>
      <c r="F23" s="20"/>
      <c r="G23" s="20"/>
      <c r="H23" s="20"/>
      <c r="I23"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40"/>
    <col collapsed="false" customWidth="true" hidden="false" outlineLevel="0" max="4" min="4" style="0" width="80"/>
    <col collapsed="false" customWidth="true" hidden="false" outlineLevel="0" max="5" min="5" style="0" width="11"/>
    <col collapsed="false" customWidth="true" hidden="false" outlineLevel="0" max="6" min="6" style="0" width="28"/>
    <col collapsed="false" customWidth="true" hidden="false" outlineLevel="0" max="7" min="7" style="0" width="14"/>
    <col collapsed="false" customWidth="true" hidden="false" outlineLevel="0" max="8" min="8" style="0" width="30"/>
  </cols>
  <sheetData>
    <row r="1" customFormat="false" ht="17.35" hidden="false" customHeight="false" outlineLevel="0" collapsed="false">
      <c r="A1" s="1" t="s">
        <v>138</v>
      </c>
    </row>
    <row r="2" customFormat="false" ht="15" hidden="false" customHeight="false" outlineLevel="0" collapsed="false">
      <c r="A2" s="2" t="s">
        <v>139</v>
      </c>
    </row>
    <row r="4" customFormat="false" ht="30" hidden="false" customHeight="true" outlineLevel="0" collapsed="false">
      <c r="A4" s="13" t="s">
        <v>140</v>
      </c>
      <c r="B4" s="13" t="s">
        <v>141</v>
      </c>
      <c r="C4" s="13" t="s">
        <v>142</v>
      </c>
      <c r="D4" s="13" t="s">
        <v>143</v>
      </c>
      <c r="E4" s="13" t="s">
        <v>144</v>
      </c>
      <c r="F4" s="13" t="s">
        <v>145</v>
      </c>
      <c r="G4" s="13" t="s">
        <v>146</v>
      </c>
      <c r="H4" s="13" t="s">
        <v>147</v>
      </c>
    </row>
    <row r="5" customFormat="false" ht="54" hidden="false" customHeight="true" outlineLevel="0" collapsed="false">
      <c r="A5" s="14" t="n">
        <v>1</v>
      </c>
      <c r="B5" s="14" t="s">
        <v>148</v>
      </c>
      <c r="C5" s="15" t="s">
        <v>149</v>
      </c>
      <c r="D5" s="15" t="s">
        <v>150</v>
      </c>
      <c r="E5" s="14" t="s">
        <v>151</v>
      </c>
      <c r="F5" s="15" t="s">
        <v>152</v>
      </c>
      <c r="G5" s="22" t="s">
        <v>153</v>
      </c>
      <c r="H5" s="23"/>
    </row>
    <row r="6" customFormat="false" ht="28.5" hidden="false" customHeight="true" outlineLevel="0" collapsed="false">
      <c r="A6" s="14" t="n">
        <v>2</v>
      </c>
      <c r="B6" s="14" t="s">
        <v>148</v>
      </c>
      <c r="C6" s="15" t="s">
        <v>154</v>
      </c>
      <c r="D6" s="15" t="s">
        <v>155</v>
      </c>
      <c r="E6" s="14" t="s">
        <v>156</v>
      </c>
      <c r="F6" s="15" t="s">
        <v>157</v>
      </c>
      <c r="G6" s="22" t="s">
        <v>153</v>
      </c>
      <c r="H6" s="23"/>
    </row>
    <row r="7" customFormat="false" ht="28.5" hidden="false" customHeight="true" outlineLevel="0" collapsed="false">
      <c r="A7" s="14" t="n">
        <v>3</v>
      </c>
      <c r="B7" s="14" t="s">
        <v>148</v>
      </c>
      <c r="C7" s="15" t="s">
        <v>158</v>
      </c>
      <c r="D7" s="15" t="s">
        <v>159</v>
      </c>
      <c r="E7" s="14" t="s">
        <v>160</v>
      </c>
      <c r="F7" s="15" t="s">
        <v>161</v>
      </c>
      <c r="G7" s="22" t="s">
        <v>153</v>
      </c>
      <c r="H7" s="23"/>
    </row>
    <row r="8" customFormat="false" ht="41.25" hidden="false" customHeight="true" outlineLevel="0" collapsed="false">
      <c r="A8" s="14" t="n">
        <v>4</v>
      </c>
      <c r="B8" s="14" t="s">
        <v>148</v>
      </c>
      <c r="C8" s="15" t="s">
        <v>162</v>
      </c>
      <c r="D8" s="15" t="s">
        <v>163</v>
      </c>
      <c r="E8" s="14" t="s">
        <v>164</v>
      </c>
      <c r="F8" s="15" t="s">
        <v>165</v>
      </c>
      <c r="G8" s="22" t="s">
        <v>153</v>
      </c>
      <c r="H8" s="23"/>
    </row>
    <row r="9" customFormat="false" ht="41.25" hidden="false" customHeight="true" outlineLevel="0" collapsed="false">
      <c r="A9" s="14" t="n">
        <v>5</v>
      </c>
      <c r="B9" s="14" t="s">
        <v>166</v>
      </c>
      <c r="C9" s="15" t="s">
        <v>167</v>
      </c>
      <c r="D9" s="15" t="s">
        <v>168</v>
      </c>
      <c r="E9" s="14" t="s">
        <v>169</v>
      </c>
      <c r="F9" s="15" t="s">
        <v>170</v>
      </c>
      <c r="G9" s="22" t="s">
        <v>153</v>
      </c>
      <c r="H9" s="23"/>
    </row>
    <row r="10" customFormat="false" ht="41.25" hidden="false" customHeight="true" outlineLevel="0" collapsed="false">
      <c r="A10" s="14" t="n">
        <v>6</v>
      </c>
      <c r="B10" s="14" t="s">
        <v>166</v>
      </c>
      <c r="C10" s="15" t="s">
        <v>171</v>
      </c>
      <c r="D10" s="15" t="s">
        <v>172</v>
      </c>
      <c r="E10" s="14" t="s">
        <v>173</v>
      </c>
      <c r="F10" s="15" t="s">
        <v>174</v>
      </c>
      <c r="G10" s="22" t="s">
        <v>153</v>
      </c>
      <c r="H10" s="23"/>
    </row>
    <row r="11" customFormat="false" ht="41.25" hidden="false" customHeight="true" outlineLevel="0" collapsed="false">
      <c r="A11" s="14" t="n">
        <v>7</v>
      </c>
      <c r="B11" s="14" t="s">
        <v>166</v>
      </c>
      <c r="C11" s="15" t="s">
        <v>175</v>
      </c>
      <c r="D11" s="15" t="s">
        <v>176</v>
      </c>
      <c r="E11" s="14" t="s">
        <v>177</v>
      </c>
      <c r="F11" s="15" t="s">
        <v>178</v>
      </c>
      <c r="G11" s="22" t="s">
        <v>153</v>
      </c>
      <c r="H11" s="23"/>
    </row>
    <row r="12" customFormat="false" ht="28.5" hidden="false" customHeight="true" outlineLevel="0" collapsed="false">
      <c r="A12" s="14" t="n">
        <v>8</v>
      </c>
      <c r="B12" s="14" t="s">
        <v>166</v>
      </c>
      <c r="C12" s="15" t="s">
        <v>179</v>
      </c>
      <c r="D12" s="15" t="s">
        <v>180</v>
      </c>
      <c r="E12" s="14" t="s">
        <v>169</v>
      </c>
      <c r="F12" s="15" t="s">
        <v>181</v>
      </c>
      <c r="G12" s="22" t="s">
        <v>153</v>
      </c>
      <c r="H12" s="23"/>
    </row>
    <row r="13" customFormat="false" ht="28.5" hidden="false" customHeight="true" outlineLevel="0" collapsed="false">
      <c r="A13" s="14" t="n">
        <v>9</v>
      </c>
      <c r="B13" s="14" t="s">
        <v>182</v>
      </c>
      <c r="C13" s="15" t="s">
        <v>183</v>
      </c>
      <c r="D13" s="15" t="s">
        <v>184</v>
      </c>
      <c r="E13" s="14" t="s">
        <v>156</v>
      </c>
      <c r="F13" s="15" t="s">
        <v>185</v>
      </c>
      <c r="G13" s="22" t="s">
        <v>153</v>
      </c>
      <c r="H13" s="23"/>
    </row>
    <row r="14" customFormat="false" ht="41.25" hidden="false" customHeight="true" outlineLevel="0" collapsed="false">
      <c r="A14" s="14" t="n">
        <v>10</v>
      </c>
      <c r="B14" s="14" t="s">
        <v>182</v>
      </c>
      <c r="C14" s="15" t="s">
        <v>186</v>
      </c>
      <c r="D14" s="15" t="s">
        <v>187</v>
      </c>
      <c r="E14" s="14" t="s">
        <v>188</v>
      </c>
      <c r="F14" s="15" t="s">
        <v>189</v>
      </c>
      <c r="G14" s="22" t="s">
        <v>153</v>
      </c>
      <c r="H14" s="23"/>
    </row>
    <row r="15" customFormat="false" ht="16.5" hidden="false" customHeight="true" outlineLevel="0" collapsed="false">
      <c r="A15" s="14" t="n">
        <v>11</v>
      </c>
      <c r="B15" s="14" t="s">
        <v>182</v>
      </c>
      <c r="C15" s="15" t="s">
        <v>190</v>
      </c>
      <c r="D15" s="15" t="s">
        <v>191</v>
      </c>
      <c r="E15" s="14" t="s">
        <v>169</v>
      </c>
      <c r="F15" s="15" t="s">
        <v>192</v>
      </c>
      <c r="G15" s="22" t="s">
        <v>153</v>
      </c>
      <c r="H15" s="23"/>
    </row>
    <row r="16" customFormat="false" ht="28.5" hidden="false" customHeight="true" outlineLevel="0" collapsed="false">
      <c r="A16" s="14" t="n">
        <v>12</v>
      </c>
      <c r="B16" s="14" t="s">
        <v>182</v>
      </c>
      <c r="C16" s="15" t="s">
        <v>193</v>
      </c>
      <c r="D16" s="15" t="s">
        <v>194</v>
      </c>
      <c r="E16" s="14" t="s">
        <v>188</v>
      </c>
      <c r="F16" s="15" t="s">
        <v>195</v>
      </c>
      <c r="G16" s="22" t="s">
        <v>153</v>
      </c>
      <c r="H16" s="23"/>
    </row>
    <row r="17" customFormat="false" ht="41.25" hidden="false" customHeight="true" outlineLevel="0" collapsed="false">
      <c r="A17" s="14" t="n">
        <v>13</v>
      </c>
      <c r="B17" s="14" t="s">
        <v>182</v>
      </c>
      <c r="C17" s="15" t="s">
        <v>196</v>
      </c>
      <c r="D17" s="15" t="s">
        <v>197</v>
      </c>
      <c r="E17" s="14" t="s">
        <v>198</v>
      </c>
      <c r="F17" s="15" t="s">
        <v>199</v>
      </c>
      <c r="G17" s="22" t="s">
        <v>153</v>
      </c>
      <c r="H17" s="23"/>
    </row>
    <row r="18" customFormat="false" ht="28.5" hidden="false" customHeight="true" outlineLevel="0" collapsed="false">
      <c r="A18" s="14" t="n">
        <v>14</v>
      </c>
      <c r="B18" s="14" t="s">
        <v>182</v>
      </c>
      <c r="C18" s="15" t="s">
        <v>200</v>
      </c>
      <c r="D18" s="15" t="s">
        <v>201</v>
      </c>
      <c r="E18" s="14" t="s">
        <v>202</v>
      </c>
      <c r="F18" s="15" t="s">
        <v>203</v>
      </c>
      <c r="G18" s="22" t="s">
        <v>153</v>
      </c>
      <c r="H18" s="23"/>
    </row>
    <row r="20" customFormat="false" ht="15" hidden="false" customHeight="false" outlineLevel="0" collapsed="false">
      <c r="C20" s="24" t="s">
        <v>204</v>
      </c>
      <c r="D20" s="25" t="str">
        <f aca="false">COUNTIF(G5:G18,"Done")&amp;" of "&amp;COUNTA(C5:C18)&amp;" done"</f>
        <v>0 of 14 done</v>
      </c>
    </row>
  </sheetData>
  <dataValidations count="1">
    <dataValidation allowBlank="false" errorStyle="stop" operator="between" showDropDown="false" showErrorMessage="false" showInputMessage="false" sqref="G5:G18"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82"/>
    <col collapsed="false" customWidth="true" hidden="false" outlineLevel="0" max="5" min="4" style="0" width="12"/>
    <col collapsed="false" customWidth="true" hidden="false" outlineLevel="0" max="6" min="6" style="0" width="16"/>
  </cols>
  <sheetData>
    <row r="1" customFormat="false" ht="17.35" hidden="false" customHeight="false" outlineLevel="0" collapsed="false">
      <c r="A1" s="1" t="s">
        <v>205</v>
      </c>
    </row>
    <row r="2" customFormat="false" ht="15" hidden="false" customHeight="false" outlineLevel="0" collapsed="false">
      <c r="A2" s="2" t="s">
        <v>206</v>
      </c>
    </row>
    <row r="4" customFormat="false" ht="30" hidden="false" customHeight="true" outlineLevel="0" collapsed="false">
      <c r="A4" s="13" t="s">
        <v>140</v>
      </c>
      <c r="B4" s="13" t="s">
        <v>207</v>
      </c>
      <c r="C4" s="13" t="s">
        <v>208</v>
      </c>
      <c r="D4" s="13" t="s">
        <v>209</v>
      </c>
      <c r="E4" s="13" t="s">
        <v>210</v>
      </c>
      <c r="F4" s="13" t="s">
        <v>146</v>
      </c>
    </row>
    <row r="5" customFormat="false" ht="28.5" hidden="false" customHeight="true" outlineLevel="0" collapsed="false">
      <c r="A5" s="14" t="n">
        <v>1</v>
      </c>
      <c r="B5" s="15" t="s">
        <v>211</v>
      </c>
      <c r="C5" s="15" t="s">
        <v>212</v>
      </c>
      <c r="D5" s="15" t="s">
        <v>213</v>
      </c>
      <c r="E5" s="15" t="s">
        <v>214</v>
      </c>
      <c r="F5" s="26" t="s">
        <v>215</v>
      </c>
    </row>
    <row r="6" customFormat="false" ht="28.5" hidden="false" customHeight="true" outlineLevel="0" collapsed="false">
      <c r="A6" s="14" t="n">
        <v>2</v>
      </c>
      <c r="B6" s="15" t="s">
        <v>211</v>
      </c>
      <c r="C6" s="15" t="s">
        <v>216</v>
      </c>
      <c r="D6" s="15" t="s">
        <v>217</v>
      </c>
      <c r="E6" s="15" t="s">
        <v>218</v>
      </c>
      <c r="F6" s="14" t="s">
        <v>219</v>
      </c>
    </row>
    <row r="7" customFormat="false" ht="41.25" hidden="false" customHeight="true" outlineLevel="0" collapsed="false">
      <c r="A7" s="14" t="n">
        <v>3</v>
      </c>
      <c r="B7" s="15" t="s">
        <v>211</v>
      </c>
      <c r="C7" s="15" t="s">
        <v>220</v>
      </c>
      <c r="D7" s="15" t="s">
        <v>217</v>
      </c>
      <c r="E7" s="15" t="s">
        <v>221</v>
      </c>
      <c r="F7" s="14" t="s">
        <v>222</v>
      </c>
    </row>
    <row r="8" customFormat="false" ht="28.5" hidden="false" customHeight="true" outlineLevel="0" collapsed="false">
      <c r="A8" s="14" t="n">
        <v>4</v>
      </c>
      <c r="B8" s="15" t="s">
        <v>211</v>
      </c>
      <c r="C8" s="15" t="s">
        <v>223</v>
      </c>
      <c r="D8" s="15" t="s">
        <v>213</v>
      </c>
      <c r="E8" s="15" t="s">
        <v>224</v>
      </c>
      <c r="F8" s="14" t="s">
        <v>225</v>
      </c>
    </row>
    <row r="9" customFormat="false" ht="28.5" hidden="false" customHeight="true" outlineLevel="0" collapsed="false">
      <c r="A9" s="14" t="n">
        <v>5</v>
      </c>
      <c r="B9" s="15" t="s">
        <v>226</v>
      </c>
      <c r="C9" s="15" t="s">
        <v>227</v>
      </c>
      <c r="D9" s="15" t="s">
        <v>217</v>
      </c>
      <c r="E9" s="15" t="s">
        <v>228</v>
      </c>
      <c r="F9" s="14" t="s">
        <v>229</v>
      </c>
    </row>
    <row r="10" customFormat="false" ht="28.5" hidden="false" customHeight="true" outlineLevel="0" collapsed="false">
      <c r="A10" s="14" t="n">
        <v>6</v>
      </c>
      <c r="B10" s="15" t="s">
        <v>226</v>
      </c>
      <c r="C10" s="15" t="s">
        <v>230</v>
      </c>
      <c r="D10" s="15" t="s">
        <v>217</v>
      </c>
      <c r="E10" s="15" t="s">
        <v>214</v>
      </c>
      <c r="F10" s="14" t="s">
        <v>231</v>
      </c>
    </row>
    <row r="11" customFormat="false" ht="16.5" hidden="false" customHeight="true" outlineLevel="0" collapsed="false">
      <c r="A11" s="14" t="n">
        <v>7</v>
      </c>
      <c r="B11" s="15" t="s">
        <v>226</v>
      </c>
      <c r="C11" s="15" t="s">
        <v>232</v>
      </c>
      <c r="D11" s="15" t="s">
        <v>213</v>
      </c>
      <c r="E11" s="15" t="s">
        <v>228</v>
      </c>
      <c r="F11" s="14" t="s">
        <v>231</v>
      </c>
    </row>
    <row r="12" customFormat="false" ht="16.5" hidden="false" customHeight="true" outlineLevel="0" collapsed="false">
      <c r="A12" s="14" t="n">
        <v>8</v>
      </c>
      <c r="B12" s="15" t="s">
        <v>226</v>
      </c>
      <c r="C12" s="15" t="s">
        <v>233</v>
      </c>
      <c r="D12" s="15" t="s">
        <v>213</v>
      </c>
      <c r="E12" s="15" t="s">
        <v>234</v>
      </c>
      <c r="F12" s="26" t="s">
        <v>235</v>
      </c>
    </row>
    <row r="13" customFormat="false" ht="28.5" hidden="false" customHeight="true" outlineLevel="0" collapsed="false">
      <c r="A13" s="14" t="n">
        <v>9</v>
      </c>
      <c r="B13" s="15" t="s">
        <v>236</v>
      </c>
      <c r="C13" s="15" t="s">
        <v>237</v>
      </c>
      <c r="D13" s="15" t="s">
        <v>238</v>
      </c>
      <c r="E13" s="15" t="s">
        <v>239</v>
      </c>
      <c r="F13" s="14" t="s">
        <v>231</v>
      </c>
    </row>
    <row r="14" customFormat="false" ht="28.5" hidden="false" customHeight="true" outlineLevel="0" collapsed="false">
      <c r="A14" s="14" t="n">
        <v>10</v>
      </c>
      <c r="B14" s="15" t="s">
        <v>236</v>
      </c>
      <c r="C14" s="15" t="s">
        <v>240</v>
      </c>
      <c r="D14" s="15" t="s">
        <v>213</v>
      </c>
      <c r="E14" s="15" t="s">
        <v>241</v>
      </c>
      <c r="F14" s="26" t="s">
        <v>242</v>
      </c>
    </row>
    <row r="15" customFormat="false" ht="28.5" hidden="false" customHeight="true" outlineLevel="0" collapsed="false">
      <c r="A15" s="14" t="n">
        <v>11</v>
      </c>
      <c r="B15" s="15" t="s">
        <v>236</v>
      </c>
      <c r="C15" s="15" t="s">
        <v>243</v>
      </c>
      <c r="D15" s="15" t="s">
        <v>213</v>
      </c>
      <c r="E15" s="15" t="s">
        <v>244</v>
      </c>
      <c r="F15" s="14" t="s">
        <v>245</v>
      </c>
    </row>
    <row r="16" customFormat="false" ht="16.5" hidden="false" customHeight="true" outlineLevel="0" collapsed="false">
      <c r="A16" s="14" t="n">
        <v>12</v>
      </c>
      <c r="B16" s="15" t="s">
        <v>236</v>
      </c>
      <c r="C16" s="15" t="s">
        <v>246</v>
      </c>
      <c r="D16" s="15" t="s">
        <v>213</v>
      </c>
      <c r="E16" s="15" t="s">
        <v>244</v>
      </c>
      <c r="F16" s="14" t="s">
        <v>247</v>
      </c>
    </row>
    <row r="17" customFormat="false" ht="28.5" hidden="false" customHeight="true" outlineLevel="0" collapsed="false">
      <c r="A17" s="14" t="n">
        <v>13</v>
      </c>
      <c r="B17" s="15" t="s">
        <v>248</v>
      </c>
      <c r="C17" s="15" t="s">
        <v>249</v>
      </c>
      <c r="D17" s="15" t="s">
        <v>213</v>
      </c>
      <c r="E17" s="15" t="s">
        <v>250</v>
      </c>
      <c r="F17" s="26" t="s">
        <v>251</v>
      </c>
    </row>
    <row r="18" customFormat="false" ht="16.5" hidden="false" customHeight="true" outlineLevel="0" collapsed="false">
      <c r="A18" s="14" t="n">
        <v>14</v>
      </c>
      <c r="B18" s="15" t="s">
        <v>248</v>
      </c>
      <c r="C18" s="15" t="s">
        <v>252</v>
      </c>
      <c r="D18" s="15" t="s">
        <v>213</v>
      </c>
      <c r="E18" s="15" t="s">
        <v>253</v>
      </c>
      <c r="F18" s="14" t="s">
        <v>231</v>
      </c>
    </row>
    <row r="19" customFormat="false" ht="28.5" hidden="false" customHeight="true" outlineLevel="0" collapsed="false">
      <c r="A19" s="14" t="n">
        <v>15</v>
      </c>
      <c r="B19" s="15" t="s">
        <v>254</v>
      </c>
      <c r="C19" s="15" t="s">
        <v>255</v>
      </c>
      <c r="D19" s="15" t="s">
        <v>217</v>
      </c>
      <c r="E19" s="15" t="s">
        <v>256</v>
      </c>
      <c r="F19" s="14" t="s">
        <v>257</v>
      </c>
    </row>
    <row r="20" customFormat="false" ht="16.5" hidden="false" customHeight="true" outlineLevel="0" collapsed="false">
      <c r="A20" s="14" t="n">
        <v>16</v>
      </c>
      <c r="B20" s="15" t="s">
        <v>254</v>
      </c>
      <c r="C20" s="15" t="s">
        <v>258</v>
      </c>
      <c r="D20" s="15" t="s">
        <v>217</v>
      </c>
      <c r="E20" s="15" t="s">
        <v>259</v>
      </c>
      <c r="F20" s="14" t="s">
        <v>231</v>
      </c>
    </row>
    <row r="21" customFormat="false" ht="28.5" hidden="false" customHeight="true" outlineLevel="0" collapsed="false">
      <c r="A21" s="14" t="n">
        <v>17</v>
      </c>
      <c r="B21" s="15" t="s">
        <v>260</v>
      </c>
      <c r="C21" s="15" t="s">
        <v>261</v>
      </c>
      <c r="D21" s="15" t="s">
        <v>217</v>
      </c>
      <c r="E21" s="15" t="s">
        <v>262</v>
      </c>
      <c r="F21" s="14" t="s">
        <v>231</v>
      </c>
    </row>
    <row r="22" customFormat="false" ht="28.5" hidden="false" customHeight="true" outlineLevel="0" collapsed="false">
      <c r="A22" s="14" t="n">
        <v>18</v>
      </c>
      <c r="B22" s="15" t="s">
        <v>263</v>
      </c>
      <c r="C22" s="15" t="s">
        <v>264</v>
      </c>
      <c r="D22" s="15" t="s">
        <v>217</v>
      </c>
      <c r="E22" s="15" t="s">
        <v>265</v>
      </c>
      <c r="F22" s="14" t="s">
        <v>231</v>
      </c>
    </row>
    <row r="23" customFormat="false" ht="28.5" hidden="false" customHeight="true" outlineLevel="0" collapsed="false">
      <c r="A23" s="14" t="n">
        <v>19</v>
      </c>
      <c r="B23" s="15" t="s">
        <v>263</v>
      </c>
      <c r="C23" s="15" t="s">
        <v>266</v>
      </c>
      <c r="D23" s="15" t="s">
        <v>238</v>
      </c>
      <c r="E23" s="15" t="s">
        <v>267</v>
      </c>
      <c r="F23" s="14" t="s">
        <v>231</v>
      </c>
    </row>
    <row r="24" customFormat="false" ht="28.5" hidden="false" customHeight="true" outlineLevel="0" collapsed="false">
      <c r="A24" s="14" t="n">
        <v>20</v>
      </c>
      <c r="B24" s="15" t="s">
        <v>268</v>
      </c>
      <c r="C24" s="15" t="s">
        <v>269</v>
      </c>
      <c r="D24" s="15" t="s">
        <v>213</v>
      </c>
      <c r="E24" s="15" t="s">
        <v>228</v>
      </c>
      <c r="F24" s="14" t="s">
        <v>270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2"/>
    <col collapsed="false" customWidth="true" hidden="false" outlineLevel="0" max="4" min="4" style="0" width="34"/>
    <col collapsed="false" customWidth="true" hidden="false" outlineLevel="0" max="5" min="5" style="0" width="26"/>
    <col collapsed="false" customWidth="true" hidden="false" outlineLevel="0" max="8" min="6" style="0" width="16"/>
  </cols>
  <sheetData>
    <row r="1" customFormat="false" ht="17.35" hidden="false" customHeight="false" outlineLevel="0" collapsed="false">
      <c r="A1" s="1" t="s">
        <v>271</v>
      </c>
    </row>
    <row r="2" customFormat="false" ht="15" hidden="false" customHeight="false" outlineLevel="0" collapsed="false">
      <c r="A2" s="2" t="s">
        <v>272</v>
      </c>
    </row>
    <row r="4" customFormat="false" ht="30" hidden="false" customHeight="true" outlineLevel="0" collapsed="false">
      <c r="A4" s="13" t="s">
        <v>273</v>
      </c>
      <c r="B4" s="13" t="s">
        <v>274</v>
      </c>
      <c r="C4" s="13" t="s">
        <v>275</v>
      </c>
      <c r="D4" s="13" t="s">
        <v>276</v>
      </c>
      <c r="E4" s="13" t="s">
        <v>277</v>
      </c>
      <c r="F4" s="13" t="s">
        <v>278</v>
      </c>
      <c r="G4" s="13" t="s">
        <v>279</v>
      </c>
      <c r="H4" s="13" t="s">
        <v>280</v>
      </c>
    </row>
    <row r="5" customFormat="false" ht="16.5" hidden="false" customHeight="true" outlineLevel="0" collapsed="false">
      <c r="A5" s="27" t="s">
        <v>281</v>
      </c>
      <c r="B5" s="28" t="s">
        <v>282</v>
      </c>
      <c r="C5" s="28" t="s">
        <v>283</v>
      </c>
      <c r="D5" s="28" t="s">
        <v>284</v>
      </c>
      <c r="E5" s="28" t="s">
        <v>285</v>
      </c>
      <c r="F5" s="29" t="s">
        <v>286</v>
      </c>
      <c r="G5" s="29" t="s">
        <v>287</v>
      </c>
      <c r="H5" s="29" t="s">
        <v>288</v>
      </c>
    </row>
    <row r="6" customFormat="false" ht="28.5" hidden="false" customHeight="true" outlineLevel="0" collapsed="false">
      <c r="A6" s="14" t="s">
        <v>289</v>
      </c>
      <c r="B6" s="15" t="s">
        <v>290</v>
      </c>
      <c r="C6" s="15" t="s">
        <v>291</v>
      </c>
      <c r="D6" s="15" t="s">
        <v>292</v>
      </c>
      <c r="E6" s="15" t="s">
        <v>293</v>
      </c>
      <c r="F6" s="23"/>
      <c r="G6" s="23"/>
      <c r="H6" s="23"/>
    </row>
    <row r="7" customFormat="false" ht="28.5" hidden="false" customHeight="true" outlineLevel="0" collapsed="false">
      <c r="A7" s="14" t="s">
        <v>294</v>
      </c>
      <c r="B7" s="15" t="s">
        <v>295</v>
      </c>
      <c r="C7" s="15" t="s">
        <v>296</v>
      </c>
      <c r="D7" s="15" t="s">
        <v>297</v>
      </c>
      <c r="E7" s="15" t="s">
        <v>298</v>
      </c>
      <c r="F7" s="23"/>
      <c r="G7" s="23"/>
      <c r="H7" s="23"/>
    </row>
    <row r="8" customFormat="false" ht="28.5" hidden="false" customHeight="true" outlineLevel="0" collapsed="false">
      <c r="A8" s="14" t="s">
        <v>299</v>
      </c>
      <c r="B8" s="15" t="s">
        <v>300</v>
      </c>
      <c r="C8" s="15" t="s">
        <v>286</v>
      </c>
      <c r="D8" s="15" t="s">
        <v>287</v>
      </c>
      <c r="E8" s="15" t="s">
        <v>301</v>
      </c>
      <c r="F8" s="23"/>
      <c r="G8" s="23"/>
      <c r="H8" s="23"/>
    </row>
    <row r="9" customFormat="false" ht="16.5" hidden="false" customHeight="true" outlineLevel="0" collapsed="false">
      <c r="A9" s="14" t="s">
        <v>302</v>
      </c>
      <c r="B9" s="15" t="s">
        <v>303</v>
      </c>
      <c r="C9" s="15" t="s">
        <v>304</v>
      </c>
      <c r="D9" s="15" t="s">
        <v>305</v>
      </c>
      <c r="E9" s="15" t="s">
        <v>306</v>
      </c>
      <c r="F9" s="23"/>
      <c r="G9" s="23"/>
      <c r="H9" s="23"/>
    </row>
    <row r="10" customFormat="false" ht="16.5" hidden="false" customHeight="true" outlineLevel="0" collapsed="false">
      <c r="A10" s="14" t="s">
        <v>307</v>
      </c>
      <c r="B10" s="15" t="s">
        <v>308</v>
      </c>
      <c r="C10" s="15" t="s">
        <v>309</v>
      </c>
      <c r="D10" s="15" t="s">
        <v>310</v>
      </c>
      <c r="E10" s="15" t="s">
        <v>311</v>
      </c>
      <c r="F10" s="23"/>
      <c r="G10" s="23"/>
      <c r="H10" s="23"/>
    </row>
    <row r="11" customFormat="false" ht="16.5" hidden="false" customHeight="true" outlineLevel="0" collapsed="false">
      <c r="A11" s="14" t="s">
        <v>312</v>
      </c>
      <c r="B11" s="15" t="s">
        <v>313</v>
      </c>
      <c r="C11" s="15" t="s">
        <v>262</v>
      </c>
      <c r="D11" s="15" t="s">
        <v>314</v>
      </c>
      <c r="E11" s="15" t="s">
        <v>315</v>
      </c>
      <c r="F11" s="23"/>
      <c r="G11" s="23"/>
      <c r="H11" s="23"/>
    </row>
    <row r="12" customFormat="false" ht="16.5" hidden="false" customHeight="true" outlineLevel="0" collapsed="false">
      <c r="A12" s="14" t="s">
        <v>316</v>
      </c>
      <c r="B12" s="15" t="s">
        <v>317</v>
      </c>
      <c r="C12" s="15" t="s">
        <v>286</v>
      </c>
      <c r="D12" s="15" t="s">
        <v>318</v>
      </c>
      <c r="E12" s="15" t="s">
        <v>306</v>
      </c>
      <c r="F12" s="23"/>
      <c r="G12" s="23"/>
      <c r="H12" s="23"/>
    </row>
    <row r="13" customFormat="false" ht="16.5" hidden="false" customHeight="true" outlineLevel="0" collapsed="false">
      <c r="A13" s="14" t="s">
        <v>319</v>
      </c>
      <c r="B13" s="15" t="s">
        <v>320</v>
      </c>
      <c r="C13" s="15" t="s">
        <v>321</v>
      </c>
      <c r="D13" s="15" t="s">
        <v>322</v>
      </c>
      <c r="E13" s="15" t="s">
        <v>323</v>
      </c>
      <c r="F13" s="23"/>
      <c r="G13" s="23"/>
      <c r="H13" s="23"/>
    </row>
    <row r="14" customFormat="false" ht="16.5" hidden="false" customHeight="true" outlineLevel="0" collapsed="false">
      <c r="A14" s="14" t="s">
        <v>324</v>
      </c>
      <c r="B14" s="15" t="s">
        <v>325</v>
      </c>
      <c r="C14" s="15" t="s">
        <v>321</v>
      </c>
      <c r="D14" s="15" t="s">
        <v>322</v>
      </c>
      <c r="E14" s="15" t="s">
        <v>323</v>
      </c>
      <c r="F14" s="23"/>
      <c r="G14" s="23"/>
      <c r="H14" s="23"/>
    </row>
    <row r="15" customFormat="false" ht="16.5" hidden="false" customHeight="true" outlineLevel="0" collapsed="false">
      <c r="A15" s="14" t="s">
        <v>326</v>
      </c>
      <c r="B15" s="15" t="s">
        <v>327</v>
      </c>
      <c r="C15" s="15" t="s">
        <v>328</v>
      </c>
      <c r="D15" s="15" t="s">
        <v>286</v>
      </c>
      <c r="E15" s="15" t="s">
        <v>323</v>
      </c>
      <c r="F15" s="23"/>
      <c r="G15" s="23"/>
      <c r="H15" s="23"/>
    </row>
    <row r="16" customFormat="false" ht="16.5" hidden="false" customHeight="true" outlineLevel="0" collapsed="false">
      <c r="A16" s="14" t="s">
        <v>329</v>
      </c>
      <c r="B16" s="15" t="s">
        <v>330</v>
      </c>
      <c r="C16" s="15" t="s">
        <v>287</v>
      </c>
      <c r="D16" s="15" t="s">
        <v>286</v>
      </c>
      <c r="E16" s="15" t="s">
        <v>331</v>
      </c>
      <c r="F16" s="23"/>
      <c r="G16" s="23"/>
      <c r="H16" s="23"/>
    </row>
    <row r="17" customFormat="false" ht="28.5" hidden="false" customHeight="true" outlineLevel="0" collapsed="false">
      <c r="A17" s="14" t="s">
        <v>332</v>
      </c>
      <c r="B17" s="15" t="s">
        <v>333</v>
      </c>
      <c r="C17" s="15" t="s">
        <v>334</v>
      </c>
      <c r="D17" s="15" t="s">
        <v>335</v>
      </c>
      <c r="E17" s="15" t="s">
        <v>336</v>
      </c>
      <c r="F17" s="23"/>
      <c r="G17" s="23"/>
      <c r="H17"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0"/>
    <col collapsed="false" customWidth="true" hidden="false" outlineLevel="0" max="4" min="4" style="0" width="70"/>
    <col collapsed="false" customWidth="true" hidden="false" outlineLevel="0" max="5" min="5" style="0" width="22"/>
    <col collapsed="false" customWidth="true" hidden="false" outlineLevel="0" max="6" min="6" style="0" width="60"/>
    <col collapsed="false" customWidth="true" hidden="false" outlineLevel="0" max="7" min="7" style="0" width="12"/>
  </cols>
  <sheetData>
    <row r="1" customFormat="false" ht="17.35" hidden="false" customHeight="false" outlineLevel="0" collapsed="false">
      <c r="A1" s="1" t="s">
        <v>337</v>
      </c>
    </row>
    <row r="2" customFormat="false" ht="15" hidden="false" customHeight="false" outlineLevel="0" collapsed="false">
      <c r="A2" s="2" t="s">
        <v>338</v>
      </c>
    </row>
    <row r="4" customFormat="false" ht="30" hidden="false" customHeight="true" outlineLevel="0" collapsed="false">
      <c r="A4" s="13" t="s">
        <v>273</v>
      </c>
      <c r="B4" s="13" t="s">
        <v>339</v>
      </c>
      <c r="C4" s="13" t="s">
        <v>340</v>
      </c>
      <c r="D4" s="13" t="s">
        <v>341</v>
      </c>
      <c r="E4" s="13" t="s">
        <v>342</v>
      </c>
      <c r="F4" s="13" t="s">
        <v>343</v>
      </c>
      <c r="G4" s="13" t="s">
        <v>146</v>
      </c>
    </row>
    <row r="5" customFormat="false" ht="41.25" hidden="false" customHeight="true" outlineLevel="0" collapsed="false">
      <c r="A5" s="14" t="s">
        <v>344</v>
      </c>
      <c r="B5" s="15" t="s">
        <v>345</v>
      </c>
      <c r="C5" s="30" t="s">
        <v>346</v>
      </c>
      <c r="D5" s="15" t="s">
        <v>347</v>
      </c>
      <c r="E5" s="15" t="s">
        <v>348</v>
      </c>
      <c r="F5" s="15" t="s">
        <v>349</v>
      </c>
      <c r="G5" s="14" t="s">
        <v>350</v>
      </c>
    </row>
    <row r="6" customFormat="false" ht="41.25" hidden="false" customHeight="true" outlineLevel="0" collapsed="false">
      <c r="A6" s="14" t="s">
        <v>351</v>
      </c>
      <c r="B6" s="15" t="s">
        <v>352</v>
      </c>
      <c r="C6" s="30" t="s">
        <v>346</v>
      </c>
      <c r="D6" s="15" t="s">
        <v>353</v>
      </c>
      <c r="E6" s="15" t="s">
        <v>354</v>
      </c>
      <c r="F6" s="15" t="s">
        <v>355</v>
      </c>
      <c r="G6" s="14" t="s">
        <v>356</v>
      </c>
    </row>
    <row r="7" customFormat="false" ht="16.5" hidden="false" customHeight="true" outlineLevel="0" collapsed="false">
      <c r="A7" s="14" t="s">
        <v>357</v>
      </c>
      <c r="B7" s="15" t="s">
        <v>358</v>
      </c>
      <c r="C7" s="26" t="s">
        <v>359</v>
      </c>
      <c r="D7" s="15" t="s">
        <v>360</v>
      </c>
      <c r="E7" s="15" t="s">
        <v>361</v>
      </c>
      <c r="F7" s="15" t="s">
        <v>362</v>
      </c>
      <c r="G7" s="14" t="s">
        <v>363</v>
      </c>
    </row>
    <row r="8" customFormat="false" ht="28.5" hidden="false" customHeight="true" outlineLevel="0" collapsed="false">
      <c r="A8" s="14" t="s">
        <v>364</v>
      </c>
      <c r="B8" s="15" t="s">
        <v>358</v>
      </c>
      <c r="C8" s="30" t="s">
        <v>346</v>
      </c>
      <c r="D8" s="15" t="s">
        <v>365</v>
      </c>
      <c r="E8" s="15" t="s">
        <v>366</v>
      </c>
      <c r="F8" s="15" t="s">
        <v>367</v>
      </c>
      <c r="G8" s="14" t="s">
        <v>368</v>
      </c>
    </row>
    <row r="9" customFormat="false" ht="41.25" hidden="false" customHeight="true" outlineLevel="0" collapsed="false">
      <c r="A9" s="14" t="s">
        <v>369</v>
      </c>
      <c r="B9" s="15" t="s">
        <v>370</v>
      </c>
      <c r="C9" s="31" t="s">
        <v>371</v>
      </c>
      <c r="D9" s="15" t="s">
        <v>372</v>
      </c>
      <c r="E9" s="15" t="s">
        <v>366</v>
      </c>
      <c r="F9" s="15" t="s">
        <v>373</v>
      </c>
      <c r="G9" s="14" t="s">
        <v>374</v>
      </c>
    </row>
    <row r="10" customFormat="false" ht="28.5" hidden="false" customHeight="true" outlineLevel="0" collapsed="false">
      <c r="A10" s="14" t="s">
        <v>375</v>
      </c>
      <c r="B10" s="15" t="s">
        <v>376</v>
      </c>
      <c r="C10" s="31" t="s">
        <v>371</v>
      </c>
      <c r="D10" s="15" t="s">
        <v>377</v>
      </c>
      <c r="E10" s="15" t="s">
        <v>378</v>
      </c>
      <c r="F10" s="15" t="s">
        <v>379</v>
      </c>
      <c r="G10" s="14" t="s">
        <v>350</v>
      </c>
    </row>
    <row r="11" customFormat="false" ht="28.5" hidden="false" customHeight="true" outlineLevel="0" collapsed="false">
      <c r="A11" s="14" t="s">
        <v>380</v>
      </c>
      <c r="B11" s="15" t="s">
        <v>381</v>
      </c>
      <c r="C11" s="31" t="s">
        <v>371</v>
      </c>
      <c r="D11" s="15" t="s">
        <v>382</v>
      </c>
      <c r="E11" s="15" t="s">
        <v>366</v>
      </c>
      <c r="F11" s="15" t="s">
        <v>383</v>
      </c>
      <c r="G11" s="14" t="s">
        <v>356</v>
      </c>
    </row>
    <row r="12" customFormat="false" ht="28.5" hidden="false" customHeight="true" outlineLevel="0" collapsed="false">
      <c r="A12" s="14" t="s">
        <v>384</v>
      </c>
      <c r="B12" s="15" t="s">
        <v>381</v>
      </c>
      <c r="C12" s="26" t="s">
        <v>359</v>
      </c>
      <c r="D12" s="15" t="s">
        <v>385</v>
      </c>
      <c r="E12" s="15" t="s">
        <v>378</v>
      </c>
      <c r="F12" s="15" t="s">
        <v>386</v>
      </c>
      <c r="G12" s="14" t="s">
        <v>350</v>
      </c>
    </row>
    <row r="13" customFormat="false" ht="28.5" hidden="false" customHeight="true" outlineLevel="0" collapsed="false">
      <c r="A13" s="14" t="s">
        <v>387</v>
      </c>
      <c r="B13" s="15" t="s">
        <v>388</v>
      </c>
      <c r="C13" s="26" t="s">
        <v>359</v>
      </c>
      <c r="D13" s="15" t="s">
        <v>389</v>
      </c>
      <c r="E13" s="15" t="s">
        <v>390</v>
      </c>
      <c r="F13" s="15" t="s">
        <v>391</v>
      </c>
      <c r="G13" s="14" t="s">
        <v>392</v>
      </c>
    </row>
    <row r="14" customFormat="false" ht="28.5" hidden="false" customHeight="true" outlineLevel="0" collapsed="false">
      <c r="A14" s="14" t="s">
        <v>393</v>
      </c>
      <c r="B14" s="15" t="s">
        <v>388</v>
      </c>
      <c r="C14" s="32" t="s">
        <v>392</v>
      </c>
      <c r="D14" s="15" t="s">
        <v>394</v>
      </c>
      <c r="E14" s="15" t="s">
        <v>395</v>
      </c>
      <c r="F14" s="15" t="s">
        <v>396</v>
      </c>
      <c r="G14" s="14" t="s">
        <v>363</v>
      </c>
    </row>
    <row r="15" customFormat="false" ht="41.25" hidden="false" customHeight="true" outlineLevel="0" collapsed="false">
      <c r="A15" s="14" t="s">
        <v>397</v>
      </c>
      <c r="B15" s="15" t="s">
        <v>398</v>
      </c>
      <c r="C15" s="31" t="s">
        <v>371</v>
      </c>
      <c r="D15" s="15" t="s">
        <v>399</v>
      </c>
      <c r="E15" s="15" t="s">
        <v>400</v>
      </c>
      <c r="F15" s="15" t="s">
        <v>401</v>
      </c>
      <c r="G15" s="14" t="s">
        <v>356</v>
      </c>
    </row>
    <row r="16" customFormat="false" ht="41.25" hidden="false" customHeight="true" outlineLevel="0" collapsed="false">
      <c r="A16" s="14" t="s">
        <v>402</v>
      </c>
      <c r="B16" s="15" t="s">
        <v>358</v>
      </c>
      <c r="C16" s="30" t="s">
        <v>346</v>
      </c>
      <c r="D16" s="15" t="s">
        <v>403</v>
      </c>
      <c r="E16" s="15" t="s">
        <v>400</v>
      </c>
      <c r="F16" s="15" t="s">
        <v>404</v>
      </c>
      <c r="G16" s="14" t="s">
        <v>356</v>
      </c>
    </row>
    <row r="17" customFormat="false" ht="28.5" hidden="false" customHeight="true" outlineLevel="0" collapsed="false">
      <c r="A17" s="14" t="s">
        <v>405</v>
      </c>
      <c r="B17" s="15" t="s">
        <v>398</v>
      </c>
      <c r="C17" s="31" t="s">
        <v>371</v>
      </c>
      <c r="D17" s="15" t="s">
        <v>406</v>
      </c>
      <c r="E17" s="15" t="s">
        <v>407</v>
      </c>
      <c r="F17" s="15" t="s">
        <v>408</v>
      </c>
      <c r="G17" s="14" t="s">
        <v>356</v>
      </c>
    </row>
    <row r="18" customFormat="false" ht="41.25" hidden="false" customHeight="true" outlineLevel="0" collapsed="false">
      <c r="A18" s="14" t="s">
        <v>409</v>
      </c>
      <c r="B18" s="15" t="s">
        <v>398</v>
      </c>
      <c r="C18" s="31" t="s">
        <v>371</v>
      </c>
      <c r="D18" s="15" t="s">
        <v>410</v>
      </c>
      <c r="E18" s="15" t="s">
        <v>411</v>
      </c>
      <c r="F18" s="15" t="s">
        <v>412</v>
      </c>
      <c r="G18" s="14" t="s">
        <v>356</v>
      </c>
    </row>
    <row r="19" customFormat="false" ht="41.25" hidden="false" customHeight="true" outlineLevel="0" collapsed="false">
      <c r="A19" s="14" t="s">
        <v>413</v>
      </c>
      <c r="B19" s="15" t="s">
        <v>398</v>
      </c>
      <c r="C19" s="26" t="s">
        <v>359</v>
      </c>
      <c r="D19" s="15" t="s">
        <v>414</v>
      </c>
      <c r="E19" s="15" t="s">
        <v>415</v>
      </c>
      <c r="F19" s="15" t="s">
        <v>416</v>
      </c>
      <c r="G19" s="14" t="s">
        <v>417</v>
      </c>
    </row>
    <row r="20" customFormat="false" ht="28.5" hidden="false" customHeight="true" outlineLevel="0" collapsed="false">
      <c r="A20" s="14" t="s">
        <v>418</v>
      </c>
      <c r="B20" s="15" t="s">
        <v>419</v>
      </c>
      <c r="C20" s="31" t="s">
        <v>371</v>
      </c>
      <c r="D20" s="15" t="s">
        <v>420</v>
      </c>
      <c r="E20" s="15" t="s">
        <v>421</v>
      </c>
      <c r="F20" s="15" t="s">
        <v>422</v>
      </c>
      <c r="G20" s="14" t="s">
        <v>356</v>
      </c>
    </row>
    <row r="21" customFormat="false" ht="28.5" hidden="false" customHeight="true" outlineLevel="0" collapsed="false">
      <c r="A21" s="14" t="s">
        <v>423</v>
      </c>
      <c r="B21" s="15" t="s">
        <v>424</v>
      </c>
      <c r="C21" s="32" t="s">
        <v>392</v>
      </c>
      <c r="D21" s="15" t="s">
        <v>425</v>
      </c>
      <c r="E21" s="15" t="s">
        <v>426</v>
      </c>
      <c r="F21" s="15" t="s">
        <v>427</v>
      </c>
      <c r="G21" s="14" t="s">
        <v>350</v>
      </c>
    </row>
    <row r="22" customFormat="false" ht="41.25" hidden="false" customHeight="true" outlineLevel="0" collapsed="false">
      <c r="A22" s="14" t="s">
        <v>428</v>
      </c>
      <c r="B22" s="15" t="s">
        <v>398</v>
      </c>
      <c r="C22" s="26" t="s">
        <v>359</v>
      </c>
      <c r="D22" s="15" t="s">
        <v>429</v>
      </c>
      <c r="E22" s="15" t="s">
        <v>430</v>
      </c>
      <c r="F22" s="15" t="s">
        <v>431</v>
      </c>
      <c r="G22" s="14" t="s">
        <v>417</v>
      </c>
    </row>
    <row r="23" customFormat="false" ht="41.25" hidden="false" customHeight="true" outlineLevel="0" collapsed="false">
      <c r="A23" s="14" t="s">
        <v>432</v>
      </c>
      <c r="B23" s="15" t="s">
        <v>345</v>
      </c>
      <c r="C23" s="31" t="s">
        <v>371</v>
      </c>
      <c r="D23" s="15" t="s">
        <v>433</v>
      </c>
      <c r="E23" s="15" t="s">
        <v>434</v>
      </c>
      <c r="F23" s="15" t="s">
        <v>435</v>
      </c>
      <c r="G23" s="14" t="s">
        <v>350</v>
      </c>
    </row>
    <row r="24" customFormat="false" ht="41.25" hidden="false" customHeight="true" outlineLevel="0" collapsed="false">
      <c r="A24" s="14" t="s">
        <v>436</v>
      </c>
      <c r="B24" s="15" t="s">
        <v>352</v>
      </c>
      <c r="C24" s="26" t="s">
        <v>359</v>
      </c>
      <c r="D24" s="15" t="s">
        <v>437</v>
      </c>
      <c r="E24" s="15" t="s">
        <v>438</v>
      </c>
      <c r="F24" s="15" t="s">
        <v>439</v>
      </c>
      <c r="G24" s="14" t="s">
        <v>350</v>
      </c>
    </row>
    <row r="25" customFormat="false" ht="41.25" hidden="false" customHeight="true" outlineLevel="0" collapsed="false">
      <c r="A25" s="14" t="s">
        <v>440</v>
      </c>
      <c r="B25" s="15" t="s">
        <v>236</v>
      </c>
      <c r="C25" s="31" t="s">
        <v>371</v>
      </c>
      <c r="D25" s="15" t="s">
        <v>441</v>
      </c>
      <c r="E25" s="15" t="s">
        <v>442</v>
      </c>
      <c r="F25" s="15" t="s">
        <v>443</v>
      </c>
      <c r="G25" s="14" t="s">
        <v>350</v>
      </c>
    </row>
    <row r="26" customFormat="false" ht="28.5" hidden="false" customHeight="true" outlineLevel="0" collapsed="false">
      <c r="A26" s="14" t="s">
        <v>444</v>
      </c>
      <c r="B26" s="15" t="s">
        <v>236</v>
      </c>
      <c r="C26" s="31" t="s">
        <v>371</v>
      </c>
      <c r="D26" s="15" t="s">
        <v>445</v>
      </c>
      <c r="E26" s="15" t="s">
        <v>442</v>
      </c>
      <c r="F26" s="15" t="s">
        <v>446</v>
      </c>
      <c r="G26" s="14" t="s">
        <v>350</v>
      </c>
    </row>
    <row r="27" customFormat="false" ht="28.5" hidden="false" customHeight="true" outlineLevel="0" collapsed="false">
      <c r="A27" s="14" t="s">
        <v>447</v>
      </c>
      <c r="B27" s="15" t="s">
        <v>398</v>
      </c>
      <c r="C27" s="26" t="s">
        <v>359</v>
      </c>
      <c r="D27" s="15" t="s">
        <v>448</v>
      </c>
      <c r="E27" s="15" t="s">
        <v>442</v>
      </c>
      <c r="F27" s="15" t="s">
        <v>449</v>
      </c>
      <c r="G27" s="14" t="s">
        <v>417</v>
      </c>
    </row>
    <row r="28" customFormat="false" ht="28.5" hidden="false" customHeight="true" outlineLevel="0" collapsed="false">
      <c r="A28" s="14" t="s">
        <v>450</v>
      </c>
      <c r="B28" s="15" t="s">
        <v>451</v>
      </c>
      <c r="C28" s="32" t="s">
        <v>392</v>
      </c>
      <c r="D28" s="15" t="s">
        <v>452</v>
      </c>
      <c r="E28" s="15" t="s">
        <v>453</v>
      </c>
      <c r="F28" s="15" t="s">
        <v>454</v>
      </c>
      <c r="G28" s="14" t="s">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60"/>
    <col collapsed="false" customWidth="true" hidden="false" outlineLevel="0" max="4" min="4" style="0" width="30"/>
    <col collapsed="false" customWidth="true" hidden="false" outlineLevel="0" max="5" min="5" style="0" width="60"/>
  </cols>
  <sheetData>
    <row r="1" customFormat="false" ht="17.35" hidden="false" customHeight="false" outlineLevel="0" collapsed="false">
      <c r="A1" s="1" t="s">
        <v>455</v>
      </c>
    </row>
    <row r="2" customFormat="false" ht="15" hidden="false" customHeight="false" outlineLevel="0" collapsed="false">
      <c r="A2" s="2" t="s">
        <v>456</v>
      </c>
    </row>
    <row r="4" customFormat="false" ht="30" hidden="false" customHeight="true" outlineLevel="0" collapsed="false">
      <c r="A4" s="13" t="s">
        <v>457</v>
      </c>
      <c r="B4" s="13" t="s">
        <v>458</v>
      </c>
      <c r="C4" s="13" t="s">
        <v>459</v>
      </c>
      <c r="D4" s="13" t="s">
        <v>460</v>
      </c>
      <c r="E4" s="13" t="s">
        <v>461</v>
      </c>
    </row>
    <row r="5" customFormat="false" ht="41.25" hidden="false" customHeight="true" outlineLevel="0" collapsed="false">
      <c r="A5" s="15" t="s">
        <v>462</v>
      </c>
      <c r="B5" s="15" t="s">
        <v>463</v>
      </c>
      <c r="C5" s="15" t="s">
        <v>464</v>
      </c>
      <c r="D5" s="15" t="s">
        <v>465</v>
      </c>
      <c r="E5" s="15" t="s">
        <v>466</v>
      </c>
    </row>
    <row r="6" customFormat="false" ht="41.25" hidden="false" customHeight="true" outlineLevel="0" collapsed="false">
      <c r="A6" s="15" t="s">
        <v>467</v>
      </c>
      <c r="B6" s="15" t="s">
        <v>468</v>
      </c>
      <c r="C6" s="15" t="s">
        <v>469</v>
      </c>
      <c r="D6" s="15" t="s">
        <v>470</v>
      </c>
      <c r="E6" s="15" t="s">
        <v>471</v>
      </c>
    </row>
    <row r="7" customFormat="false" ht="41.25" hidden="false" customHeight="true" outlineLevel="0" collapsed="false">
      <c r="A7" s="15" t="s">
        <v>472</v>
      </c>
      <c r="B7" s="15" t="s">
        <v>473</v>
      </c>
      <c r="C7" s="15" t="s">
        <v>474</v>
      </c>
      <c r="D7" s="15" t="s">
        <v>475</v>
      </c>
      <c r="E7" s="15" t="s">
        <v>476</v>
      </c>
    </row>
    <row r="8" customFormat="false" ht="28.5" hidden="false" customHeight="true" outlineLevel="0" collapsed="false">
      <c r="A8" s="15" t="s">
        <v>477</v>
      </c>
      <c r="B8" s="15" t="s">
        <v>478</v>
      </c>
      <c r="C8" s="15" t="s">
        <v>479</v>
      </c>
      <c r="D8" s="15" t="s">
        <v>480</v>
      </c>
      <c r="E8" s="15" t="s">
        <v>481</v>
      </c>
    </row>
    <row r="9" customFormat="false" ht="41.25" hidden="false" customHeight="true" outlineLevel="0" collapsed="false">
      <c r="A9" s="15" t="s">
        <v>482</v>
      </c>
      <c r="B9" s="15" t="s">
        <v>483</v>
      </c>
      <c r="C9" s="15" t="s">
        <v>484</v>
      </c>
      <c r="D9" s="15" t="s">
        <v>485</v>
      </c>
      <c r="E9" s="15" t="s">
        <v>486</v>
      </c>
    </row>
    <row r="10" customFormat="false" ht="54" hidden="false" customHeight="true" outlineLevel="0" collapsed="false">
      <c r="A10" s="15" t="s">
        <v>487</v>
      </c>
      <c r="B10" s="15" t="s">
        <v>488</v>
      </c>
      <c r="C10" s="15" t="s">
        <v>489</v>
      </c>
      <c r="D10" s="15" t="s">
        <v>490</v>
      </c>
      <c r="E10" s="15" t="s">
        <v>491</v>
      </c>
    </row>
    <row r="11" customFormat="false" ht="41.25" hidden="false" customHeight="true" outlineLevel="0" collapsed="false">
      <c r="A11" s="15" t="s">
        <v>492</v>
      </c>
      <c r="B11" s="15" t="s">
        <v>493</v>
      </c>
      <c r="C11" s="15" t="s">
        <v>494</v>
      </c>
      <c r="D11" s="15" t="s">
        <v>285</v>
      </c>
      <c r="E11" s="15"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10"/>
    <col collapsed="false" customWidth="true" hidden="false" outlineLevel="0" max="5" min="5" style="0" width="22"/>
    <col collapsed="false" customWidth="true" hidden="false" outlineLevel="0" max="6" min="6" style="0" width="56"/>
    <col collapsed="false" customWidth="true" hidden="false" outlineLevel="0" max="7" min="7" style="0" width="26"/>
    <col collapsed="false" customWidth="true" hidden="false" outlineLevel="0" max="8" min="8" style="0" width="22"/>
  </cols>
  <sheetData>
    <row r="1" customFormat="false" ht="17.35" hidden="false" customHeight="false" outlineLevel="0" collapsed="false">
      <c r="A1" s="1" t="s">
        <v>496</v>
      </c>
    </row>
    <row r="2" customFormat="false" ht="15" hidden="false" customHeight="false" outlineLevel="0" collapsed="false">
      <c r="A2" s="2" t="s">
        <v>497</v>
      </c>
    </row>
    <row r="4" customFormat="false" ht="30" hidden="false" customHeight="true" outlineLevel="0" collapsed="false">
      <c r="A4" s="13" t="s">
        <v>140</v>
      </c>
      <c r="B4" s="13" t="s">
        <v>498</v>
      </c>
      <c r="C4" s="13" t="s">
        <v>499</v>
      </c>
      <c r="D4" s="13" t="s">
        <v>500</v>
      </c>
      <c r="E4" s="13" t="s">
        <v>501</v>
      </c>
      <c r="F4" s="13" t="s">
        <v>502</v>
      </c>
      <c r="G4" s="13" t="s">
        <v>503</v>
      </c>
      <c r="H4" s="13" t="s">
        <v>504</v>
      </c>
    </row>
    <row r="5" customFormat="false" ht="15" hidden="false" customHeight="false" outlineLevel="0" collapsed="false">
      <c r="A5" s="14" t="n">
        <v>1</v>
      </c>
      <c r="B5" s="14" t="s">
        <v>505</v>
      </c>
      <c r="C5" s="14" t="s">
        <v>506</v>
      </c>
      <c r="D5" s="14" t="s">
        <v>214</v>
      </c>
      <c r="E5" s="14" t="s">
        <v>506</v>
      </c>
      <c r="F5" s="15" t="s">
        <v>507</v>
      </c>
      <c r="G5" s="14" t="s">
        <v>508</v>
      </c>
      <c r="H5" s="15" t="s">
        <v>366</v>
      </c>
    </row>
    <row r="6" customFormat="false" ht="15" hidden="false" customHeight="false" outlineLevel="0" collapsed="false">
      <c r="A6" s="14" t="n">
        <v>2</v>
      </c>
      <c r="B6" s="14" t="s">
        <v>505</v>
      </c>
      <c r="C6" s="14" t="s">
        <v>509</v>
      </c>
      <c r="D6" s="14" t="s">
        <v>214</v>
      </c>
      <c r="E6" s="14" t="s">
        <v>509</v>
      </c>
      <c r="F6" s="15" t="s">
        <v>507</v>
      </c>
      <c r="G6" s="14" t="s">
        <v>508</v>
      </c>
      <c r="H6" s="15" t="s">
        <v>366</v>
      </c>
    </row>
    <row r="7" customFormat="false" ht="15" hidden="false" customHeight="false" outlineLevel="0" collapsed="false">
      <c r="A7" s="14" t="n">
        <v>3</v>
      </c>
      <c r="B7" s="14" t="s">
        <v>509</v>
      </c>
      <c r="C7" s="14" t="s">
        <v>505</v>
      </c>
      <c r="D7" s="14" t="s">
        <v>214</v>
      </c>
      <c r="E7" s="14" t="s">
        <v>509</v>
      </c>
      <c r="F7" s="15" t="s">
        <v>510</v>
      </c>
      <c r="G7" s="14" t="s">
        <v>508</v>
      </c>
      <c r="H7" s="15" t="s">
        <v>366</v>
      </c>
    </row>
    <row r="8" customFormat="false" ht="15" hidden="false" customHeight="false" outlineLevel="0" collapsed="false">
      <c r="A8" s="14" t="n">
        <v>4</v>
      </c>
      <c r="B8" s="14" t="s">
        <v>506</v>
      </c>
      <c r="C8" s="14" t="s">
        <v>505</v>
      </c>
      <c r="D8" s="14" t="s">
        <v>214</v>
      </c>
      <c r="E8" s="14" t="s">
        <v>506</v>
      </c>
      <c r="F8" s="15" t="s">
        <v>510</v>
      </c>
      <c r="G8" s="14" t="s">
        <v>508</v>
      </c>
      <c r="H8" s="15" t="s">
        <v>366</v>
      </c>
    </row>
    <row r="9" customFormat="false" ht="15" hidden="false" customHeight="false" outlineLevel="0" collapsed="false">
      <c r="A9" s="14" t="n">
        <v>5</v>
      </c>
      <c r="B9" s="14" t="s">
        <v>509</v>
      </c>
      <c r="C9" s="14" t="s">
        <v>509</v>
      </c>
      <c r="D9" s="14" t="s">
        <v>214</v>
      </c>
      <c r="E9" s="14" t="s">
        <v>509</v>
      </c>
      <c r="F9" s="15" t="s">
        <v>511</v>
      </c>
      <c r="G9" s="14" t="s">
        <v>508</v>
      </c>
      <c r="H9" s="15" t="s">
        <v>366</v>
      </c>
    </row>
    <row r="10" customFormat="false" ht="15" hidden="false" customHeight="false" outlineLevel="0" collapsed="false">
      <c r="A10" s="14" t="n">
        <v>6</v>
      </c>
      <c r="B10" s="14" t="s">
        <v>506</v>
      </c>
      <c r="C10" s="14" t="s">
        <v>506</v>
      </c>
      <c r="D10" s="14" t="s">
        <v>214</v>
      </c>
      <c r="E10" s="14" t="s">
        <v>506</v>
      </c>
      <c r="F10" s="15" t="s">
        <v>511</v>
      </c>
      <c r="G10" s="14" t="s">
        <v>508</v>
      </c>
      <c r="H10" s="15" t="s">
        <v>366</v>
      </c>
    </row>
    <row r="11" customFormat="false" ht="15" hidden="false" customHeight="false" outlineLevel="0" collapsed="false">
      <c r="A11" s="14" t="n">
        <v>7</v>
      </c>
      <c r="B11" s="14" t="s">
        <v>509</v>
      </c>
      <c r="C11" s="14" t="s">
        <v>506</v>
      </c>
      <c r="D11" s="14" t="s">
        <v>509</v>
      </c>
      <c r="E11" s="14" t="s">
        <v>509</v>
      </c>
      <c r="F11" s="15" t="s">
        <v>512</v>
      </c>
      <c r="G11" s="14" t="s">
        <v>508</v>
      </c>
      <c r="H11" s="15" t="s">
        <v>366</v>
      </c>
    </row>
    <row r="12" customFormat="false" ht="15" hidden="false" customHeight="false" outlineLevel="0" collapsed="false">
      <c r="A12" s="14" t="n">
        <v>8</v>
      </c>
      <c r="B12" s="14" t="s">
        <v>509</v>
      </c>
      <c r="C12" s="14" t="s">
        <v>506</v>
      </c>
      <c r="D12" s="14" t="s">
        <v>506</v>
      </c>
      <c r="E12" s="14" t="s">
        <v>506</v>
      </c>
      <c r="F12" s="15" t="s">
        <v>512</v>
      </c>
      <c r="G12" s="14" t="s">
        <v>508</v>
      </c>
      <c r="H12" s="15" t="s">
        <v>366</v>
      </c>
    </row>
    <row r="13" customFormat="false" ht="15" hidden="false" customHeight="false" outlineLevel="0" collapsed="false">
      <c r="A13" s="14" t="n">
        <v>9</v>
      </c>
      <c r="B13" s="14" t="s">
        <v>509</v>
      </c>
      <c r="C13" s="14" t="s">
        <v>506</v>
      </c>
      <c r="D13" s="14" t="s">
        <v>505</v>
      </c>
      <c r="E13" s="14" t="s">
        <v>509</v>
      </c>
      <c r="F13" s="15" t="s">
        <v>513</v>
      </c>
      <c r="G13" s="14" t="s">
        <v>508</v>
      </c>
      <c r="H13" s="15" t="s">
        <v>366</v>
      </c>
    </row>
    <row r="14" customFormat="false" ht="15" hidden="false" customHeight="false" outlineLevel="0" collapsed="false">
      <c r="A14" s="14" t="n">
        <v>10</v>
      </c>
      <c r="B14" s="14" t="s">
        <v>506</v>
      </c>
      <c r="C14" s="14" t="s">
        <v>509</v>
      </c>
      <c r="D14" s="14" t="s">
        <v>505</v>
      </c>
      <c r="E14" s="14" t="s">
        <v>506</v>
      </c>
      <c r="F14" s="15" t="s">
        <v>514</v>
      </c>
      <c r="G14" s="14" t="s">
        <v>508</v>
      </c>
      <c r="H14" s="15" t="s">
        <v>366</v>
      </c>
    </row>
    <row r="15" customFormat="false" ht="15" hidden="false" customHeight="false" outlineLevel="0" collapsed="false">
      <c r="A15" s="14" t="n">
        <v>11</v>
      </c>
      <c r="B15" s="14" t="s">
        <v>505</v>
      </c>
      <c r="C15" s="14" t="s">
        <v>505</v>
      </c>
      <c r="D15" s="14" t="s">
        <v>509</v>
      </c>
      <c r="E15" s="14" t="s">
        <v>509</v>
      </c>
      <c r="F15" s="15" t="s">
        <v>515</v>
      </c>
      <c r="G15" s="14" t="s">
        <v>508</v>
      </c>
      <c r="H15" s="15" t="s">
        <v>366</v>
      </c>
    </row>
    <row r="16" customFormat="false" ht="15" hidden="false" customHeight="false" outlineLevel="0" collapsed="false">
      <c r="A16" s="14" t="n">
        <v>12</v>
      </c>
      <c r="B16" s="14" t="s">
        <v>505</v>
      </c>
      <c r="C16" s="14" t="s">
        <v>505</v>
      </c>
      <c r="D16" s="14" t="s">
        <v>506</v>
      </c>
      <c r="E16" s="14" t="s">
        <v>506</v>
      </c>
      <c r="F16" s="15" t="s">
        <v>515</v>
      </c>
      <c r="G16" s="14" t="s">
        <v>508</v>
      </c>
      <c r="H16" s="15" t="s">
        <v>366</v>
      </c>
    </row>
    <row r="17" customFormat="false" ht="15" hidden="false" customHeight="false" outlineLevel="0" collapsed="false">
      <c r="A17" s="14" t="n">
        <v>13</v>
      </c>
      <c r="B17" s="14" t="s">
        <v>505</v>
      </c>
      <c r="C17" s="14" t="s">
        <v>505</v>
      </c>
      <c r="D17" s="14" t="s">
        <v>505</v>
      </c>
      <c r="E17" s="14" t="s">
        <v>516</v>
      </c>
      <c r="F17" s="15" t="s">
        <v>517</v>
      </c>
      <c r="G17" s="14" t="s">
        <v>508</v>
      </c>
      <c r="H17" s="15" t="s">
        <v>366</v>
      </c>
    </row>
    <row r="18" customFormat="false" ht="15" hidden="false" customHeight="false" outlineLevel="0" collapsed="false">
      <c r="A18" s="14" t="n">
        <v>14</v>
      </c>
      <c r="B18" s="14" t="s">
        <v>505</v>
      </c>
      <c r="C18" s="14" t="s">
        <v>505</v>
      </c>
      <c r="D18" s="14" t="s">
        <v>214</v>
      </c>
      <c r="E18" s="14" t="s">
        <v>518</v>
      </c>
      <c r="F18" s="15" t="s">
        <v>519</v>
      </c>
      <c r="G18" s="14" t="s">
        <v>508</v>
      </c>
      <c r="H18" s="15" t="s">
        <v>366</v>
      </c>
    </row>
    <row r="19" customFormat="false" ht="42" hidden="false" customHeight="true" outlineLevel="0" collapsed="false">
      <c r="A19" s="14" t="n">
        <v>15</v>
      </c>
      <c r="B19" s="15" t="s">
        <v>520</v>
      </c>
      <c r="C19" s="15"/>
      <c r="D19" s="15"/>
      <c r="E19" s="14" t="s">
        <v>521</v>
      </c>
      <c r="F19" s="15" t="s">
        <v>522</v>
      </c>
      <c r="G19" s="14" t="s">
        <v>508</v>
      </c>
      <c r="H19" s="15" t="s">
        <v>523</v>
      </c>
    </row>
    <row r="20" customFormat="false" ht="42" hidden="false" customHeight="true" outlineLevel="0" collapsed="false">
      <c r="A20" s="14" t="n">
        <v>16</v>
      </c>
      <c r="B20" s="15" t="s">
        <v>524</v>
      </c>
      <c r="C20" s="15"/>
      <c r="D20" s="15"/>
      <c r="E20" s="14" t="s">
        <v>525</v>
      </c>
      <c r="F20" s="15" t="s">
        <v>526</v>
      </c>
      <c r="G20" s="14" t="s">
        <v>508</v>
      </c>
      <c r="H20" s="15" t="s">
        <v>523</v>
      </c>
    </row>
    <row r="21" customFormat="false" ht="42" hidden="false" customHeight="true" outlineLevel="0" collapsed="false">
      <c r="A21" s="14" t="n">
        <v>17</v>
      </c>
      <c r="B21" s="15" t="s">
        <v>527</v>
      </c>
      <c r="C21" s="15"/>
      <c r="D21" s="15"/>
      <c r="E21" s="14" t="s">
        <v>528</v>
      </c>
      <c r="F21" s="15" t="s">
        <v>529</v>
      </c>
      <c r="G21" s="14" t="s">
        <v>508</v>
      </c>
      <c r="H21" s="15" t="s">
        <v>523</v>
      </c>
    </row>
    <row r="22" customFormat="false" ht="42" hidden="false" customHeight="true" outlineLevel="0" collapsed="false">
      <c r="A22" s="14" t="n">
        <v>18</v>
      </c>
      <c r="B22" s="15" t="s">
        <v>530</v>
      </c>
      <c r="C22" s="15"/>
      <c r="D22" s="15"/>
      <c r="E22" s="14" t="s">
        <v>531</v>
      </c>
      <c r="F22" s="15" t="s">
        <v>532</v>
      </c>
      <c r="G22" s="14" t="s">
        <v>508</v>
      </c>
      <c r="H22" s="15" t="s">
        <v>523</v>
      </c>
    </row>
  </sheetData>
  <mergeCells count="4">
    <mergeCell ref="B19:D19"/>
    <mergeCell ref="B20:D20"/>
    <mergeCell ref="B21:D21"/>
    <mergeCell ref="B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78"/>
    <col collapsed="false" customWidth="true" hidden="false" outlineLevel="0" max="4" min="4" style="0" width="10"/>
  </cols>
  <sheetData>
    <row r="1" customFormat="false" ht="17.35" hidden="false" customHeight="false" outlineLevel="0" collapsed="false">
      <c r="A1" s="1" t="s">
        <v>533</v>
      </c>
    </row>
    <row r="2" customFormat="false" ht="15" hidden="false" customHeight="false" outlineLevel="0" collapsed="false">
      <c r="A2" s="2" t="s">
        <v>534</v>
      </c>
    </row>
    <row r="4" customFormat="false" ht="30" hidden="false" customHeight="true" outlineLevel="0" collapsed="false">
      <c r="A4" s="13" t="s">
        <v>140</v>
      </c>
      <c r="B4" s="13" t="s">
        <v>535</v>
      </c>
      <c r="C4" s="13" t="s">
        <v>536</v>
      </c>
      <c r="D4" s="13" t="s">
        <v>537</v>
      </c>
    </row>
    <row r="5" customFormat="false" ht="15" hidden="false" customHeight="false" outlineLevel="0" collapsed="false">
      <c r="A5" s="14" t="n">
        <v>1</v>
      </c>
      <c r="B5" s="15" t="s">
        <v>538</v>
      </c>
      <c r="C5" s="15" t="s">
        <v>539</v>
      </c>
      <c r="D5" s="16" t="s">
        <v>540</v>
      </c>
    </row>
    <row r="6" customFormat="false" ht="15" hidden="false" customHeight="false" outlineLevel="0" collapsed="false">
      <c r="A6" s="14" t="n">
        <v>2</v>
      </c>
      <c r="B6" s="15" t="s">
        <v>538</v>
      </c>
      <c r="C6" s="15" t="s">
        <v>541</v>
      </c>
      <c r="D6" s="16" t="s">
        <v>540</v>
      </c>
    </row>
    <row r="7" customFormat="false" ht="15" hidden="false" customHeight="false" outlineLevel="0" collapsed="false">
      <c r="A7" s="14" t="n">
        <v>3</v>
      </c>
      <c r="B7" s="15" t="s">
        <v>542</v>
      </c>
      <c r="C7" s="15" t="s">
        <v>543</v>
      </c>
      <c r="D7" s="16" t="s">
        <v>540</v>
      </c>
    </row>
    <row r="8" customFormat="false" ht="15" hidden="false" customHeight="false" outlineLevel="0" collapsed="false">
      <c r="A8" s="14" t="n">
        <v>4</v>
      </c>
      <c r="B8" s="15" t="s">
        <v>542</v>
      </c>
      <c r="C8" s="15" t="s">
        <v>544</v>
      </c>
      <c r="D8" s="16" t="s">
        <v>540</v>
      </c>
    </row>
    <row r="9" customFormat="false" ht="15" hidden="false" customHeight="false" outlineLevel="0" collapsed="false">
      <c r="A9" s="14" t="n">
        <v>5</v>
      </c>
      <c r="B9" s="15" t="s">
        <v>542</v>
      </c>
      <c r="C9" s="15" t="s">
        <v>545</v>
      </c>
      <c r="D9" s="16" t="s">
        <v>540</v>
      </c>
    </row>
    <row r="10" customFormat="false" ht="15" hidden="false" customHeight="false" outlineLevel="0" collapsed="false">
      <c r="A10" s="14" t="n">
        <v>6</v>
      </c>
      <c r="B10" s="15" t="s">
        <v>542</v>
      </c>
      <c r="C10" s="15" t="s">
        <v>546</v>
      </c>
      <c r="D10" s="16" t="s">
        <v>540</v>
      </c>
    </row>
    <row r="11" customFormat="false" ht="15" hidden="false" customHeight="false" outlineLevel="0" collapsed="false">
      <c r="A11" s="14" t="n">
        <v>7</v>
      </c>
      <c r="B11" s="15" t="s">
        <v>547</v>
      </c>
      <c r="C11" s="15" t="s">
        <v>548</v>
      </c>
      <c r="D11" s="16" t="s">
        <v>540</v>
      </c>
    </row>
    <row r="12" customFormat="false" ht="15" hidden="false" customHeight="false" outlineLevel="0" collapsed="false">
      <c r="A12" s="14" t="n">
        <v>8</v>
      </c>
      <c r="B12" s="15" t="s">
        <v>547</v>
      </c>
      <c r="C12" s="15" t="s">
        <v>549</v>
      </c>
      <c r="D12" s="16" t="s">
        <v>540</v>
      </c>
    </row>
    <row r="13" customFormat="false" ht="15" hidden="false" customHeight="false" outlineLevel="0" collapsed="false">
      <c r="A13" s="14" t="n">
        <v>9</v>
      </c>
      <c r="B13" s="15" t="s">
        <v>547</v>
      </c>
      <c r="C13" s="15" t="s">
        <v>550</v>
      </c>
      <c r="D13" s="16" t="s">
        <v>540</v>
      </c>
    </row>
    <row r="14" customFormat="false" ht="15" hidden="false" customHeight="false" outlineLevel="0" collapsed="false">
      <c r="A14" s="14" t="n">
        <v>10</v>
      </c>
      <c r="B14" s="15" t="s">
        <v>547</v>
      </c>
      <c r="C14" s="15" t="s">
        <v>551</v>
      </c>
      <c r="D14" s="16" t="s">
        <v>540</v>
      </c>
    </row>
    <row r="15" customFormat="false" ht="15" hidden="false" customHeight="false" outlineLevel="0" collapsed="false">
      <c r="A15" s="14" t="n">
        <v>11</v>
      </c>
      <c r="B15" s="15" t="s">
        <v>547</v>
      </c>
      <c r="C15" s="15" t="s">
        <v>552</v>
      </c>
      <c r="D15" s="16" t="s">
        <v>540</v>
      </c>
    </row>
    <row r="16" customFormat="false" ht="15" hidden="false" customHeight="false" outlineLevel="0" collapsed="false">
      <c r="A16" s="14" t="n">
        <v>12</v>
      </c>
      <c r="B16" s="15" t="s">
        <v>547</v>
      </c>
      <c r="C16" s="15" t="s">
        <v>553</v>
      </c>
      <c r="D16" s="16" t="s">
        <v>540</v>
      </c>
    </row>
    <row r="17" customFormat="false" ht="15" hidden="false" customHeight="false" outlineLevel="0" collapsed="false">
      <c r="A17" s="14" t="n">
        <v>13</v>
      </c>
      <c r="B17" s="15" t="s">
        <v>547</v>
      </c>
      <c r="C17" s="15" t="s">
        <v>554</v>
      </c>
      <c r="D17" s="16" t="s">
        <v>540</v>
      </c>
    </row>
    <row r="18" customFormat="false" ht="15" hidden="false" customHeight="false" outlineLevel="0" collapsed="false">
      <c r="A18" s="14" t="n">
        <v>14</v>
      </c>
      <c r="B18" s="15" t="s">
        <v>547</v>
      </c>
      <c r="C18" s="15" t="s">
        <v>555</v>
      </c>
      <c r="D18" s="16" t="s">
        <v>540</v>
      </c>
    </row>
    <row r="19" customFormat="false" ht="15" hidden="false" customHeight="false" outlineLevel="0" collapsed="false">
      <c r="A19" s="14" t="n">
        <v>15</v>
      </c>
      <c r="B19" s="15" t="s">
        <v>547</v>
      </c>
      <c r="C19" s="15" t="s">
        <v>556</v>
      </c>
      <c r="D19" s="16" t="s">
        <v>540</v>
      </c>
    </row>
    <row r="20" customFormat="false" ht="15" hidden="false" customHeight="false" outlineLevel="0" collapsed="false">
      <c r="A20" s="14" t="n">
        <v>16</v>
      </c>
      <c r="B20" s="15" t="s">
        <v>547</v>
      </c>
      <c r="C20" s="15" t="s">
        <v>557</v>
      </c>
      <c r="D20" s="16" t="s">
        <v>540</v>
      </c>
    </row>
    <row r="21" customFormat="false" ht="15" hidden="false" customHeight="false" outlineLevel="0" collapsed="false">
      <c r="A21" s="14" t="n">
        <v>17</v>
      </c>
      <c r="B21" s="15" t="s">
        <v>547</v>
      </c>
      <c r="C21" s="15" t="s">
        <v>558</v>
      </c>
      <c r="D21" s="16" t="s">
        <v>540</v>
      </c>
    </row>
    <row r="22" customFormat="false" ht="15" hidden="false" customHeight="false" outlineLevel="0" collapsed="false">
      <c r="A22" s="14" t="n">
        <v>18</v>
      </c>
      <c r="B22" s="15" t="s">
        <v>547</v>
      </c>
      <c r="C22" s="15" t="s">
        <v>559</v>
      </c>
      <c r="D22" s="16" t="s">
        <v>540</v>
      </c>
    </row>
    <row r="23" customFormat="false" ht="15" hidden="false" customHeight="false" outlineLevel="0" collapsed="false">
      <c r="A23" s="14" t="n">
        <v>19</v>
      </c>
      <c r="B23" s="15" t="s">
        <v>547</v>
      </c>
      <c r="C23" s="15" t="s">
        <v>560</v>
      </c>
      <c r="D23" s="16" t="s">
        <v>540</v>
      </c>
    </row>
    <row r="24" customFormat="false" ht="15" hidden="false" customHeight="false" outlineLevel="0" collapsed="false">
      <c r="A24" s="14" t="n">
        <v>20</v>
      </c>
      <c r="B24" s="15" t="s">
        <v>547</v>
      </c>
      <c r="C24" s="15" t="s">
        <v>561</v>
      </c>
      <c r="D24" s="16" t="s">
        <v>540</v>
      </c>
    </row>
    <row r="25" customFormat="false" ht="15" hidden="false" customHeight="false" outlineLevel="0" collapsed="false">
      <c r="A25" s="14" t="n">
        <v>21</v>
      </c>
      <c r="B25" s="15" t="s">
        <v>547</v>
      </c>
      <c r="C25" s="15" t="s">
        <v>562</v>
      </c>
      <c r="D25" s="16" t="s">
        <v>540</v>
      </c>
    </row>
    <row r="26" customFormat="false" ht="15" hidden="false" customHeight="false" outlineLevel="0" collapsed="false">
      <c r="A26" s="14" t="n">
        <v>22</v>
      </c>
      <c r="B26" s="15" t="s">
        <v>563</v>
      </c>
      <c r="C26" s="15" t="s">
        <v>564</v>
      </c>
      <c r="D26" s="16" t="s">
        <v>540</v>
      </c>
    </row>
    <row r="27" customFormat="false" ht="15" hidden="false" customHeight="false" outlineLevel="0" collapsed="false">
      <c r="A27" s="14" t="n">
        <v>23</v>
      </c>
      <c r="B27" s="15" t="s">
        <v>563</v>
      </c>
      <c r="C27" s="15" t="s">
        <v>565</v>
      </c>
      <c r="D27" s="16" t="s">
        <v>540</v>
      </c>
    </row>
    <row r="28" customFormat="false" ht="15" hidden="false" customHeight="false" outlineLevel="0" collapsed="false">
      <c r="A28" s="14" t="n">
        <v>24</v>
      </c>
      <c r="B28" s="15" t="s">
        <v>563</v>
      </c>
      <c r="C28" s="15" t="s">
        <v>566</v>
      </c>
      <c r="D28" s="16" t="s">
        <v>540</v>
      </c>
    </row>
    <row r="29" customFormat="false" ht="15" hidden="false" customHeight="false" outlineLevel="0" collapsed="false">
      <c r="A29" s="14" t="n">
        <v>25</v>
      </c>
      <c r="B29" s="15" t="s">
        <v>563</v>
      </c>
      <c r="C29" s="15" t="s">
        <v>567</v>
      </c>
      <c r="D29" s="16" t="s">
        <v>540</v>
      </c>
    </row>
    <row r="30" customFormat="false" ht="15" hidden="false" customHeight="false" outlineLevel="0" collapsed="false">
      <c r="A30" s="14" t="n">
        <v>26</v>
      </c>
      <c r="B30" s="15" t="s">
        <v>563</v>
      </c>
      <c r="C30" s="15" t="s">
        <v>568</v>
      </c>
      <c r="D30" s="16" t="s">
        <v>540</v>
      </c>
    </row>
    <row r="31" customFormat="false" ht="15" hidden="false" customHeight="false" outlineLevel="0" collapsed="false">
      <c r="A31" s="14" t="n">
        <v>27</v>
      </c>
      <c r="B31" s="15" t="s">
        <v>569</v>
      </c>
      <c r="C31" s="15" t="s">
        <v>570</v>
      </c>
      <c r="D31" s="16" t="s">
        <v>540</v>
      </c>
    </row>
    <row r="32" customFormat="false" ht="15" hidden="false" customHeight="false" outlineLevel="0" collapsed="false">
      <c r="A32" s="14" t="n">
        <v>28</v>
      </c>
      <c r="B32" s="15" t="s">
        <v>569</v>
      </c>
      <c r="C32" s="15" t="s">
        <v>571</v>
      </c>
      <c r="D32" s="16" t="s">
        <v>540</v>
      </c>
    </row>
    <row r="33" customFormat="false" ht="15" hidden="false" customHeight="false" outlineLevel="0" collapsed="false">
      <c r="A33" s="14" t="n">
        <v>29</v>
      </c>
      <c r="B33" s="15" t="s">
        <v>572</v>
      </c>
      <c r="C33" s="15" t="s">
        <v>573</v>
      </c>
      <c r="D33" s="16" t="s">
        <v>540</v>
      </c>
    </row>
    <row r="34" customFormat="false" ht="15" hidden="false" customHeight="false" outlineLevel="0" collapsed="false">
      <c r="A34" s="14" t="n">
        <v>30</v>
      </c>
      <c r="B34" s="15" t="s">
        <v>572</v>
      </c>
      <c r="C34" s="15" t="s">
        <v>574</v>
      </c>
      <c r="D34" s="16" t="s">
        <v>540</v>
      </c>
    </row>
    <row r="35" customFormat="false" ht="15" hidden="false" customHeight="false" outlineLevel="0" collapsed="false">
      <c r="A35" s="14" t="n">
        <v>31</v>
      </c>
      <c r="B35" s="15" t="s">
        <v>572</v>
      </c>
      <c r="C35" s="15" t="s">
        <v>575</v>
      </c>
      <c r="D35" s="16" t="s">
        <v>540</v>
      </c>
    </row>
    <row r="36" customFormat="false" ht="15" hidden="false" customHeight="false" outlineLevel="0" collapsed="false">
      <c r="A36" s="14" t="n">
        <v>32</v>
      </c>
      <c r="B36" s="15" t="s">
        <v>572</v>
      </c>
      <c r="C36" s="15" t="s">
        <v>576</v>
      </c>
      <c r="D36" s="16" t="s">
        <v>540</v>
      </c>
    </row>
    <row r="37" customFormat="false" ht="15" hidden="false" customHeight="false" outlineLevel="0" collapsed="false">
      <c r="A37" s="14" t="n">
        <v>33</v>
      </c>
      <c r="B37" s="15" t="s">
        <v>572</v>
      </c>
      <c r="C37" s="15" t="s">
        <v>577</v>
      </c>
      <c r="D37" s="16" t="s">
        <v>540</v>
      </c>
    </row>
    <row r="38" customFormat="false" ht="15" hidden="false" customHeight="false" outlineLevel="0" collapsed="false">
      <c r="A38" s="14" t="n">
        <v>34</v>
      </c>
      <c r="B38" s="15" t="s">
        <v>578</v>
      </c>
      <c r="C38" s="15" t="s">
        <v>579</v>
      </c>
      <c r="D38" s="16" t="s">
        <v>540</v>
      </c>
    </row>
    <row r="39" customFormat="false" ht="15" hidden="false" customHeight="false" outlineLevel="0" collapsed="false">
      <c r="A39" s="14" t="n">
        <v>35</v>
      </c>
      <c r="B39" s="15" t="s">
        <v>578</v>
      </c>
      <c r="C39" s="15" t="s">
        <v>580</v>
      </c>
      <c r="D39" s="16" t="s">
        <v>540</v>
      </c>
    </row>
    <row r="40" customFormat="false" ht="15" hidden="false" customHeight="false" outlineLevel="0" collapsed="false">
      <c r="A40" s="14" t="n">
        <v>36</v>
      </c>
      <c r="B40" s="15" t="s">
        <v>578</v>
      </c>
      <c r="C40" s="15" t="s">
        <v>581</v>
      </c>
      <c r="D40" s="16" t="s">
        <v>540</v>
      </c>
    </row>
    <row r="41" customFormat="false" ht="15" hidden="false" customHeight="false" outlineLevel="0" collapsed="false">
      <c r="A41" s="14" t="n">
        <v>37</v>
      </c>
      <c r="B41" s="15" t="s">
        <v>578</v>
      </c>
      <c r="C41" s="15" t="s">
        <v>582</v>
      </c>
      <c r="D41" s="16" t="s">
        <v>540</v>
      </c>
    </row>
    <row r="42" customFormat="false" ht="15" hidden="false" customHeight="false" outlineLevel="0" collapsed="false">
      <c r="A42" s="14" t="n">
        <v>38</v>
      </c>
      <c r="B42" s="15" t="s">
        <v>583</v>
      </c>
      <c r="C42" s="15" t="s">
        <v>584</v>
      </c>
      <c r="D42" s="16" t="s">
        <v>540</v>
      </c>
    </row>
    <row r="43" customFormat="false" ht="15" hidden="false" customHeight="false" outlineLevel="0" collapsed="false">
      <c r="A43" s="14" t="n">
        <v>39</v>
      </c>
      <c r="B43" s="15" t="s">
        <v>585</v>
      </c>
      <c r="C43" s="15" t="s">
        <v>586</v>
      </c>
      <c r="D43" s="16" t="s">
        <v>540</v>
      </c>
    </row>
    <row r="44" customFormat="false" ht="15" hidden="false" customHeight="false" outlineLevel="0" collapsed="false">
      <c r="A44" s="14" t="n">
        <v>40</v>
      </c>
      <c r="B44" s="15" t="s">
        <v>585</v>
      </c>
      <c r="C44" s="15" t="s">
        <v>587</v>
      </c>
      <c r="D44" s="16" t="s">
        <v>540</v>
      </c>
    </row>
    <row r="45" customFormat="false" ht="15" hidden="false" customHeight="false" outlineLevel="0" collapsed="false">
      <c r="A45" s="14" t="n">
        <v>41</v>
      </c>
      <c r="B45" s="15" t="s">
        <v>585</v>
      </c>
      <c r="C45" s="15" t="s">
        <v>588</v>
      </c>
      <c r="D45" s="16" t="s">
        <v>540</v>
      </c>
    </row>
    <row r="46" customFormat="false" ht="15" hidden="false" customHeight="false" outlineLevel="0" collapsed="false">
      <c r="A46" s="14" t="n">
        <v>42</v>
      </c>
      <c r="B46" s="15" t="s">
        <v>589</v>
      </c>
      <c r="C46" s="15" t="s">
        <v>590</v>
      </c>
      <c r="D46" s="16" t="s">
        <v>540</v>
      </c>
    </row>
    <row r="47" customFormat="false" ht="15" hidden="false" customHeight="false" outlineLevel="0" collapsed="false">
      <c r="A47" s="14" t="n">
        <v>43</v>
      </c>
      <c r="B47" s="15" t="s">
        <v>591</v>
      </c>
      <c r="C47" s="15" t="s">
        <v>592</v>
      </c>
      <c r="D47" s="16" t="s">
        <v>540</v>
      </c>
    </row>
    <row r="48" customFormat="false" ht="15" hidden="false" customHeight="false" outlineLevel="0" collapsed="false">
      <c r="A48" s="14" t="n">
        <v>44</v>
      </c>
      <c r="B48" s="15" t="s">
        <v>591</v>
      </c>
      <c r="C48" s="15" t="s">
        <v>593</v>
      </c>
      <c r="D48" s="16" t="s">
        <v>540</v>
      </c>
    </row>
    <row r="49" customFormat="false" ht="15" hidden="false" customHeight="false" outlineLevel="0" collapsed="false">
      <c r="A49" s="14" t="n">
        <v>45</v>
      </c>
      <c r="B49" s="15" t="s">
        <v>591</v>
      </c>
      <c r="C49" s="15" t="s">
        <v>594</v>
      </c>
      <c r="D49" s="16" t="s">
        <v>540</v>
      </c>
    </row>
    <row r="50" customFormat="false" ht="15" hidden="false" customHeight="false" outlineLevel="0" collapsed="false">
      <c r="A50" s="14" t="n">
        <v>46</v>
      </c>
      <c r="B50" s="15" t="s">
        <v>595</v>
      </c>
      <c r="C50" s="15" t="s">
        <v>596</v>
      </c>
      <c r="D50" s="16" t="s">
        <v>540</v>
      </c>
    </row>
    <row r="51" customFormat="false" ht="15" hidden="false" customHeight="false" outlineLevel="0" collapsed="false">
      <c r="A51" s="14" t="n">
        <v>47</v>
      </c>
      <c r="B51" s="15" t="s">
        <v>597</v>
      </c>
      <c r="C51" s="15" t="s">
        <v>598</v>
      </c>
      <c r="D51" s="16" t="s">
        <v>540</v>
      </c>
    </row>
    <row r="52" customFormat="false" ht="15" hidden="false" customHeight="false" outlineLevel="0" collapsed="false">
      <c r="A52" s="14" t="n">
        <v>48</v>
      </c>
      <c r="B52" s="15" t="s">
        <v>597</v>
      </c>
      <c r="C52" s="15" t="s">
        <v>599</v>
      </c>
      <c r="D52" s="16" t="s">
        <v>540</v>
      </c>
    </row>
    <row r="53" customFormat="false" ht="15" hidden="false" customHeight="false" outlineLevel="0" collapsed="false">
      <c r="A53" s="14" t="n">
        <v>49</v>
      </c>
      <c r="B53" s="15" t="s">
        <v>600</v>
      </c>
      <c r="C53" s="15" t="s">
        <v>601</v>
      </c>
      <c r="D53" s="16" t="s">
        <v>540</v>
      </c>
    </row>
    <row r="54" customFormat="false" ht="15" hidden="false" customHeight="false" outlineLevel="0" collapsed="false">
      <c r="A54" s="14" t="n">
        <v>50</v>
      </c>
      <c r="B54" s="15" t="s">
        <v>600</v>
      </c>
      <c r="C54" s="15" t="s">
        <v>602</v>
      </c>
      <c r="D54" s="16" t="s">
        <v>540</v>
      </c>
    </row>
    <row r="55" customFormat="false" ht="15" hidden="false" customHeight="false" outlineLevel="0" collapsed="false">
      <c r="A55" s="14" t="n">
        <v>51</v>
      </c>
      <c r="B55" s="15" t="s">
        <v>600</v>
      </c>
      <c r="C55" s="15" t="s">
        <v>603</v>
      </c>
      <c r="D55" s="16" t="s">
        <v>540</v>
      </c>
    </row>
    <row r="56" customFormat="false" ht="15" hidden="false" customHeight="false" outlineLevel="0" collapsed="false">
      <c r="A56" s="14" t="n">
        <v>52</v>
      </c>
      <c r="B56" s="15" t="s">
        <v>604</v>
      </c>
      <c r="C56" s="15" t="s">
        <v>605</v>
      </c>
      <c r="D56" s="16" t="s">
        <v>540</v>
      </c>
    </row>
    <row r="58" customFormat="false" ht="15" hidden="false" customHeight="false" outlineLevel="0" collapsed="false">
      <c r="B58" s="24" t="s">
        <v>606</v>
      </c>
    </row>
    <row r="59" customFormat="false" ht="15" hidden="false" customHeight="false" outlineLevel="0" collapsed="false">
      <c r="B59" s="25" t="s">
        <v>607</v>
      </c>
      <c r="C59" s="33" t="n">
        <v>431</v>
      </c>
    </row>
    <row r="60" customFormat="false" ht="15" hidden="false" customHeight="false" outlineLevel="0" collapsed="false">
      <c r="B60" s="25" t="s">
        <v>608</v>
      </c>
      <c r="C60" s="33" t="n">
        <v>3000</v>
      </c>
    </row>
    <row r="61" customFormat="false" ht="15" hidden="false" customHeight="false" outlineLevel="0" collapsed="false">
      <c r="B61" s="25" t="s">
        <v>609</v>
      </c>
      <c r="C61" s="33" t="n">
        <v>14437</v>
      </c>
    </row>
    <row r="62" customFormat="false" ht="15" hidden="false" customHeight="false" outlineLevel="0" collapsed="false">
      <c r="B62" s="25" t="s">
        <v>610</v>
      </c>
      <c r="C62" s="33" t="n">
        <v>113115</v>
      </c>
    </row>
    <row r="63" customFormat="false" ht="15" hidden="false" customHeight="false" outlineLevel="0" collapsed="false">
      <c r="B63" s="25" t="s">
        <v>611</v>
      </c>
      <c r="C63" s="33" t="n">
        <v>5353</v>
      </c>
    </row>
    <row r="64" customFormat="false" ht="15" hidden="false" customHeight="false" outlineLevel="0" collapsed="false">
      <c r="B64" s="25" t="s">
        <v>612</v>
      </c>
      <c r="C64" s="33" t="n">
        <v>5295</v>
      </c>
    </row>
    <row r="65" customFormat="false" ht="15" hidden="false" customHeight="false" outlineLevel="0" collapsed="false">
      <c r="B65" s="25" t="s">
        <v>613</v>
      </c>
      <c r="C65" s="33" t="n">
        <v>148</v>
      </c>
    </row>
    <row r="66" customFormat="false" ht="15" hidden="false" customHeight="false" outlineLevel="0" collapsed="false">
      <c r="B66" s="25" t="s">
        <v>614</v>
      </c>
      <c r="C66" s="34" t="n">
        <f aca="false">C62/C60</f>
        <v>37.705</v>
      </c>
    </row>
    <row r="67" customFormat="false" ht="15" hidden="false" customHeight="false" outlineLevel="0" collapsed="false">
      <c r="B67" s="25" t="s">
        <v>615</v>
      </c>
      <c r="C67" s="34" t="n">
        <f aca="false">C61/C60</f>
        <v>4.81233333333333</v>
      </c>
    </row>
    <row r="69" customFormat="false" ht="15" hidden="false" customHeight="false" outlineLevel="0" collapsed="false">
      <c r="B69" s="2"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80"/>
  </cols>
  <sheetData>
    <row r="1" customFormat="false" ht="17.35" hidden="false" customHeight="false" outlineLevel="0" collapsed="false">
      <c r="A1" s="1" t="s">
        <v>617</v>
      </c>
    </row>
    <row r="2" customFormat="false" ht="15" hidden="false" customHeight="false" outlineLevel="0" collapsed="false">
      <c r="A2" s="2" t="s">
        <v>618</v>
      </c>
    </row>
    <row r="4" customFormat="false" ht="30" hidden="false" customHeight="true" outlineLevel="0" collapsed="false">
      <c r="A4" s="13" t="s">
        <v>619</v>
      </c>
      <c r="B4" s="13" t="s">
        <v>620</v>
      </c>
      <c r="C4" s="13" t="s">
        <v>621</v>
      </c>
      <c r="D4" s="13" t="s">
        <v>622</v>
      </c>
    </row>
    <row r="5" customFormat="false" ht="42" hidden="false" customHeight="true" outlineLevel="0" collapsed="false">
      <c r="A5" s="15" t="s">
        <v>623</v>
      </c>
      <c r="B5" s="15" t="s">
        <v>624</v>
      </c>
      <c r="C5" s="15" t="s">
        <v>625</v>
      </c>
      <c r="D5" s="15" t="s">
        <v>626</v>
      </c>
    </row>
    <row r="6" customFormat="false" ht="42" hidden="false" customHeight="true" outlineLevel="0" collapsed="false">
      <c r="A6" s="15" t="s">
        <v>627</v>
      </c>
      <c r="B6" s="15" t="s">
        <v>624</v>
      </c>
      <c r="C6" s="15" t="s">
        <v>628</v>
      </c>
      <c r="D6" s="15" t="s">
        <v>629</v>
      </c>
    </row>
    <row r="7" customFormat="false" ht="42" hidden="false" customHeight="true" outlineLevel="0" collapsed="false">
      <c r="A7" s="15" t="s">
        <v>630</v>
      </c>
      <c r="B7" s="15" t="s">
        <v>624</v>
      </c>
      <c r="C7" s="15" t="s">
        <v>631</v>
      </c>
      <c r="D7" s="15" t="s">
        <v>632</v>
      </c>
    </row>
    <row r="8" customFormat="false" ht="42" hidden="false" customHeight="true" outlineLevel="0" collapsed="false">
      <c r="A8" s="15" t="s">
        <v>633</v>
      </c>
      <c r="B8" s="15" t="s">
        <v>624</v>
      </c>
      <c r="C8" s="15" t="s">
        <v>634</v>
      </c>
      <c r="D8" s="15" t="s">
        <v>635</v>
      </c>
    </row>
    <row r="9" customFormat="false" ht="42" hidden="false" customHeight="true" outlineLevel="0" collapsed="false">
      <c r="A9" s="15" t="s">
        <v>636</v>
      </c>
      <c r="B9" s="15" t="s">
        <v>624</v>
      </c>
      <c r="C9" s="15" t="s">
        <v>637</v>
      </c>
      <c r="D9" s="15" t="s">
        <v>638</v>
      </c>
    </row>
    <row r="10" customFormat="false" ht="42" hidden="false" customHeight="true" outlineLevel="0" collapsed="false">
      <c r="A10" s="15" t="s">
        <v>639</v>
      </c>
      <c r="B10" s="15" t="s">
        <v>624</v>
      </c>
      <c r="C10" s="15" t="s">
        <v>640</v>
      </c>
      <c r="D10" s="15" t="s">
        <v>641</v>
      </c>
    </row>
    <row r="11" customFormat="false" ht="42" hidden="false" customHeight="true" outlineLevel="0" collapsed="false">
      <c r="A11" s="15" t="s">
        <v>642</v>
      </c>
      <c r="B11" s="15" t="s">
        <v>643</v>
      </c>
      <c r="C11" s="15" t="s">
        <v>644</v>
      </c>
      <c r="D11" s="15" t="s">
        <v>645</v>
      </c>
    </row>
    <row r="12" customFormat="false" ht="42" hidden="false" customHeight="true" outlineLevel="0" collapsed="false">
      <c r="A12" s="15" t="s">
        <v>646</v>
      </c>
      <c r="B12" s="15" t="s">
        <v>643</v>
      </c>
      <c r="C12" s="15" t="s">
        <v>647</v>
      </c>
      <c r="D12" s="15" t="s">
        <v>648</v>
      </c>
    </row>
    <row r="13" customFormat="false" ht="42" hidden="false" customHeight="true" outlineLevel="0" collapsed="false">
      <c r="A13" s="15" t="s">
        <v>649</v>
      </c>
      <c r="B13" s="15" t="s">
        <v>650</v>
      </c>
      <c r="C13" s="15" t="s">
        <v>651</v>
      </c>
      <c r="D13" s="15" t="s">
        <v>652</v>
      </c>
    </row>
    <row r="14" customFormat="false" ht="42" hidden="false" customHeight="true" outlineLevel="0" collapsed="false">
      <c r="A14" s="15" t="s">
        <v>653</v>
      </c>
      <c r="B14" s="15" t="s">
        <v>654</v>
      </c>
      <c r="C14" s="15" t="s">
        <v>655</v>
      </c>
      <c r="D14" s="15" t="s">
        <v>656</v>
      </c>
    </row>
    <row r="15" customFormat="false" ht="42" hidden="false" customHeight="true" outlineLevel="0" collapsed="false">
      <c r="A15" s="15" t="s">
        <v>657</v>
      </c>
      <c r="B15" s="15" t="s">
        <v>654</v>
      </c>
      <c r="C15" s="15" t="s">
        <v>637</v>
      </c>
      <c r="D15" s="15"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2026-10-08T03:24:22Z</dcterms:created>
  <dc:creator>openpyxl</dc:creator>
  <dc:description/>
  <dc:language>en-US</dc:language>
  <cp:lastModifiedBy/>
  <dcterms:modified xsi:type="dcterms:W3CDTF">2026-10-08T03:24:23Z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